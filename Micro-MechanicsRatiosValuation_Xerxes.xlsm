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erxe\Desktop\Internship and Hall Senior\SilverCross\"/>
    </mc:Choice>
  </mc:AlternateContent>
  <xr:revisionPtr revIDLastSave="0" documentId="13_ncr:1_{E734DF11-D198-4A5E-AA16-C8278EE4664F}" xr6:coauthVersionLast="41" xr6:coauthVersionMax="41" xr10:uidLastSave="{00000000-0000-0000-0000-000000000000}"/>
  <bookViews>
    <workbookView xWindow="-110" yWindow="-110" windowWidth="19420" windowHeight="10420" xr2:uid="{8AD2CD3E-6ABC-470C-AC19-5BC614CA66EA}"/>
  </bookViews>
  <sheets>
    <sheet name="Analysis" sheetId="1" r:id="rId1"/>
    <sheet name="Glossary of terms " sheetId="2" r:id="rId2"/>
    <sheet name="Industry PE Averag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1" i="1" l="1"/>
  <c r="F51" i="1"/>
  <c r="G51" i="1"/>
  <c r="H51" i="1"/>
  <c r="I51" i="1"/>
  <c r="J51" i="1"/>
  <c r="K51" i="1"/>
  <c r="L51" i="1"/>
  <c r="M51" i="1"/>
  <c r="N51" i="1"/>
  <c r="O51" i="1"/>
  <c r="E52" i="1"/>
  <c r="F52" i="1"/>
  <c r="G52" i="1"/>
  <c r="H52" i="1"/>
  <c r="I52" i="1"/>
  <c r="J52" i="1"/>
  <c r="K52" i="1"/>
  <c r="L52" i="1"/>
  <c r="M52" i="1"/>
  <c r="N52" i="1"/>
  <c r="O52" i="1"/>
  <c r="P51" i="1"/>
  <c r="P52" i="1"/>
  <c r="Q52" i="1"/>
  <c r="Q51" i="1"/>
  <c r="I62" i="1"/>
  <c r="G61" i="1"/>
  <c r="E61" i="1"/>
  <c r="I61" i="1"/>
  <c r="E62" i="1"/>
  <c r="G62" i="1"/>
  <c r="F50" i="1" l="1"/>
  <c r="G50" i="1"/>
  <c r="H50" i="1"/>
  <c r="I50" i="1"/>
  <c r="J50" i="1"/>
  <c r="K50" i="1"/>
  <c r="L50" i="1"/>
  <c r="M50" i="1"/>
  <c r="N50" i="1"/>
  <c r="O50" i="1"/>
  <c r="P50" i="1"/>
  <c r="Q50" i="1"/>
  <c r="E50" i="1"/>
  <c r="I60" i="1"/>
  <c r="G60" i="1"/>
  <c r="E60" i="1"/>
  <c r="E14" i="3" l="1"/>
  <c r="E13" i="3"/>
  <c r="N56" i="1"/>
  <c r="N57" i="1" s="1"/>
  <c r="N70" i="1"/>
  <c r="N71" i="1" s="1"/>
  <c r="N72" i="1" s="1"/>
  <c r="N62" i="1"/>
  <c r="N63" i="1" s="1"/>
  <c r="N64" i="1" s="1"/>
  <c r="P45" i="1"/>
  <c r="Q45" i="1"/>
  <c r="P46" i="1"/>
  <c r="Q46" i="1"/>
  <c r="P47" i="1"/>
  <c r="Q47" i="1"/>
  <c r="P48" i="1"/>
  <c r="Q48" i="1"/>
  <c r="P49" i="1"/>
  <c r="Q49" i="1"/>
  <c r="P11" i="1"/>
  <c r="Q11" i="1"/>
  <c r="E66" i="1"/>
  <c r="G70" i="1"/>
  <c r="G68" i="1"/>
  <c r="I69" i="1"/>
  <c r="G72" i="1"/>
  <c r="E65" i="1"/>
  <c r="E70" i="1"/>
  <c r="E71" i="1"/>
  <c r="I68" i="1"/>
  <c r="N58" i="1"/>
  <c r="E69" i="1"/>
  <c r="G71" i="1"/>
  <c r="E72" i="1"/>
  <c r="I66" i="1"/>
  <c r="N73" i="1"/>
  <c r="I70" i="1"/>
  <c r="G65" i="1"/>
  <c r="G69" i="1"/>
  <c r="I71" i="1"/>
  <c r="I72" i="1"/>
  <c r="I65" i="1"/>
  <c r="E68" i="1"/>
  <c r="G66" i="1"/>
  <c r="N65" i="1"/>
  <c r="N59" i="1" l="1"/>
  <c r="N60" i="1" s="1"/>
  <c r="N66" i="1"/>
  <c r="N67" i="1" s="1"/>
  <c r="N78" i="1"/>
  <c r="N79" i="1" s="1"/>
  <c r="N80" i="1" s="1"/>
  <c r="N74" i="1"/>
  <c r="N75" i="1" s="1"/>
  <c r="A44" i="1"/>
  <c r="N81" i="1"/>
  <c r="N82" i="1" l="1"/>
  <c r="N83" i="1" s="1"/>
  <c r="F45" i="1"/>
  <c r="G45" i="1"/>
  <c r="H45" i="1"/>
  <c r="I45" i="1"/>
  <c r="J45" i="1"/>
  <c r="K45" i="1"/>
  <c r="L45" i="1"/>
  <c r="M45" i="1"/>
  <c r="N45" i="1"/>
  <c r="O45" i="1"/>
  <c r="F46" i="1"/>
  <c r="G46" i="1"/>
  <c r="H46" i="1"/>
  <c r="I46" i="1"/>
  <c r="J46" i="1"/>
  <c r="K46" i="1"/>
  <c r="L46" i="1"/>
  <c r="M46" i="1"/>
  <c r="N46" i="1"/>
  <c r="O46" i="1"/>
  <c r="F47" i="1"/>
  <c r="G47" i="1"/>
  <c r="H47" i="1"/>
  <c r="I47" i="1"/>
  <c r="J47" i="1"/>
  <c r="K47" i="1"/>
  <c r="L47" i="1"/>
  <c r="M47" i="1"/>
  <c r="N47" i="1"/>
  <c r="O47" i="1"/>
  <c r="F48" i="1"/>
  <c r="G48" i="1"/>
  <c r="H48" i="1"/>
  <c r="I48" i="1"/>
  <c r="J48" i="1"/>
  <c r="K48" i="1"/>
  <c r="L48" i="1"/>
  <c r="M48" i="1"/>
  <c r="N48" i="1"/>
  <c r="O48" i="1"/>
  <c r="F49" i="1"/>
  <c r="G49" i="1"/>
  <c r="H49" i="1"/>
  <c r="I49" i="1"/>
  <c r="J49" i="1"/>
  <c r="K49" i="1"/>
  <c r="L49" i="1"/>
  <c r="M49" i="1"/>
  <c r="N49" i="1"/>
  <c r="O49" i="1"/>
  <c r="E49" i="1"/>
  <c r="E48" i="1"/>
  <c r="E47" i="1"/>
  <c r="E46" i="1"/>
  <c r="E45" i="1"/>
  <c r="A33" i="1"/>
  <c r="A19" i="1"/>
  <c r="A6" i="1"/>
  <c r="F11" i="1"/>
  <c r="G11" i="1"/>
  <c r="H11" i="1"/>
  <c r="I11" i="1"/>
  <c r="J11" i="1"/>
  <c r="K11" i="1"/>
  <c r="L11" i="1"/>
  <c r="M11" i="1"/>
  <c r="N11" i="1"/>
  <c r="O11" i="1"/>
  <c r="E11" i="1"/>
  <c r="F2" i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G56" i="1"/>
  <c r="G57" i="1"/>
  <c r="E59" i="1"/>
  <c r="I59" i="1"/>
  <c r="G67" i="1"/>
  <c r="I67" i="1"/>
  <c r="I56" i="1"/>
  <c r="I57" i="1"/>
  <c r="I55" i="1"/>
  <c r="E55" i="1"/>
  <c r="E58" i="1"/>
  <c r="E56" i="1"/>
  <c r="I58" i="1"/>
  <c r="E57" i="1"/>
  <c r="G55" i="1"/>
  <c r="E67" i="1"/>
  <c r="G59" i="1"/>
  <c r="G5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tc={6EA8614C-E7EE-452D-83A5-04072AF9AE22}</author>
    <author>tc={B935DB9F-CEEF-490B-9BAE-AE4C78DFA5A4}</author>
  </authors>
  <commentList>
    <comment ref="N57" authorId="0" shapeId="0" xr:uid="{6EA8614C-E7EE-452D-83A5-04072AF9AE22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Super conservative valuation assumes a reversion to the industry average P/E ratio of 9.03 (Found under Industry Data Sheet)</t>
      </text>
    </comment>
    <comment ref="N64" authorId="1" shapeId="0" xr:uid="{B935DB9F-CEEF-490B-9BAE-AE4C78DFA5A4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Convervative valuation assumes a reversion to the current P/E ratio of the STI index of 11.26</t>
      </text>
    </comment>
  </commentList>
</comments>
</file>

<file path=xl/sharedStrings.xml><?xml version="1.0" encoding="utf-8"?>
<sst xmlns="http://schemas.openxmlformats.org/spreadsheetml/2006/main" count="138" uniqueCount="94">
  <si>
    <t>SGD $1000's</t>
  </si>
  <si>
    <t>Micro Mechanics (Holdings) Ltd SGX:5DD</t>
  </si>
  <si>
    <t>Raw Data</t>
  </si>
  <si>
    <t>Revenue</t>
  </si>
  <si>
    <t xml:space="preserve">Net Income </t>
  </si>
  <si>
    <t>Cost of sales (goods)</t>
  </si>
  <si>
    <t>Cost of expenses</t>
  </si>
  <si>
    <t>COGS</t>
  </si>
  <si>
    <t>Cash from Ops</t>
  </si>
  <si>
    <t>CAPEX</t>
  </si>
  <si>
    <t>Current Assets</t>
  </si>
  <si>
    <t>Current Liabilities</t>
  </si>
  <si>
    <t>Non-current Assets</t>
  </si>
  <si>
    <t>Non-current Liabilities</t>
  </si>
  <si>
    <t>Total Debt</t>
  </si>
  <si>
    <t>Shareholder's Equity</t>
  </si>
  <si>
    <t>Net Profit Margin</t>
  </si>
  <si>
    <t>Return On Equity (ROE)</t>
  </si>
  <si>
    <t>Free Cash Flow (FCF)</t>
  </si>
  <si>
    <t>Cost Of Goods Sold (COGS)</t>
  </si>
  <si>
    <t>Net Gearing Ratio</t>
  </si>
  <si>
    <t>Outstanding shares</t>
  </si>
  <si>
    <t>Cash and Cash Equivalents</t>
  </si>
  <si>
    <t xml:space="preserve">Revenue </t>
  </si>
  <si>
    <t>Net Income</t>
  </si>
  <si>
    <t>SPLIT SCREEN</t>
  </si>
  <si>
    <t>Glossary of terms</t>
  </si>
  <si>
    <t xml:space="preserve">Net Profit Margin </t>
  </si>
  <si>
    <t>Term</t>
  </si>
  <si>
    <t>Notes</t>
  </si>
  <si>
    <t>Formula or Definition</t>
  </si>
  <si>
    <t>Net Income/Revenue</t>
  </si>
  <si>
    <t>-</t>
  </si>
  <si>
    <t>Cash from Ops- CAPEX</t>
  </si>
  <si>
    <t>PPE expenses + Accquisition of Subsidiaries</t>
  </si>
  <si>
    <t>Can substitute with Total Liabilities</t>
  </si>
  <si>
    <t>Trade Payables + Other payables and accruels + due to subsidiaries + Loan borrowings</t>
  </si>
  <si>
    <t>Net Debt</t>
  </si>
  <si>
    <t>Net Debt/Equity</t>
  </si>
  <si>
    <t>CPS</t>
  </si>
  <si>
    <t>Cash Flow from Ops per share</t>
  </si>
  <si>
    <t>Used when many non-cash adjustments are made</t>
  </si>
  <si>
    <t>Cost of Expense</t>
  </si>
  <si>
    <t>Distribution Cost + Admin Expense+ Other Ops Expenses</t>
  </si>
  <si>
    <t>Cost of Sales</t>
  </si>
  <si>
    <t>Cost of the raw materials and the production process</t>
  </si>
  <si>
    <t>Normally given in the Income Statement</t>
  </si>
  <si>
    <t>P/E Ratios</t>
  </si>
  <si>
    <t>Global Testing</t>
  </si>
  <si>
    <t>Avi Tech</t>
  </si>
  <si>
    <t>ASTI</t>
  </si>
  <si>
    <t>Sunright</t>
  </si>
  <si>
    <t>UMS</t>
  </si>
  <si>
    <t>GulTech</t>
  </si>
  <si>
    <t>Ellipsiz</t>
  </si>
  <si>
    <t>Elec and Eltek</t>
  </si>
  <si>
    <t>CEI</t>
  </si>
  <si>
    <t>Company</t>
  </si>
  <si>
    <t>Latest Available P/E</t>
  </si>
  <si>
    <t>Delisted 2013</t>
  </si>
  <si>
    <t>Negative P/E of -11.85</t>
  </si>
  <si>
    <t>STI ETF</t>
  </si>
  <si>
    <t>Company P/E</t>
  </si>
  <si>
    <t>Date</t>
  </si>
  <si>
    <t xml:space="preserve"> Earnings Per Share (Cents)</t>
  </si>
  <si>
    <t>Current Share Price</t>
  </si>
  <si>
    <t>SG Industry Average</t>
  </si>
  <si>
    <t>CAGR Analysis &amp; Valuation</t>
  </si>
  <si>
    <t>Super Conservative</t>
  </si>
  <si>
    <t>CAGR of Valuation</t>
  </si>
  <si>
    <t>CAGR of Share Price</t>
  </si>
  <si>
    <t>CAGR of EPS</t>
  </si>
  <si>
    <t xml:space="preserve"> Earnings Per Share</t>
  </si>
  <si>
    <t xml:space="preserve"> Conservative</t>
  </si>
  <si>
    <t>Current Price</t>
  </si>
  <si>
    <t>Aggressive</t>
  </si>
  <si>
    <t>Take Profit (SGD)</t>
  </si>
  <si>
    <t>Super Aggressive</t>
  </si>
  <si>
    <t>Last Updated</t>
  </si>
  <si>
    <t>CAGR of EPS (Earnings) × CAGR of Valuation</t>
  </si>
  <si>
    <t>from "A Random Walk Down WallStreet"</t>
  </si>
  <si>
    <t>Current EPS multiplied by an expected CAGR</t>
  </si>
  <si>
    <t xml:space="preserve">Forward EPS </t>
  </si>
  <si>
    <t>Forward Valuation</t>
  </si>
  <si>
    <t>P/E ratio selected based on industry or index average</t>
  </si>
  <si>
    <t>Forward EPS multiplied by an P/E ratio. A re-valuation based on P/E ratio</t>
  </si>
  <si>
    <t>&lt;Country&gt; Industry Average</t>
  </si>
  <si>
    <t>Reminder to remove counters no longer listed</t>
  </si>
  <si>
    <t>Refers to the average ratio of similar companies in the similar industry witin the country's market.</t>
  </si>
  <si>
    <t>Current Ratio</t>
  </si>
  <si>
    <t>Total Ratio</t>
  </si>
  <si>
    <r>
      <t xml:space="preserve">COGS </t>
    </r>
    <r>
      <rPr>
        <b/>
        <sz val="11"/>
        <rFont val="Arial Narrow"/>
        <family val="2"/>
      </rPr>
      <t>(bold to indicate formula)</t>
    </r>
  </si>
  <si>
    <t>Quick Ratio</t>
  </si>
  <si>
    <t>(Total Current Assets - Inventory - Prepaid Expenses)/Current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</si>
</sst>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&quot;A&quot;"/>
    <numFmt numFmtId="165" formatCode="0&quot; Years&quot;"/>
    <numFmt numFmtId="166" formatCode="#,###;[Red]\-#,###;0.0;"/>
    <numFmt numFmtId="167" formatCode="0.000"/>
    <numFmt numFmtId="168" formatCode="0&quot; Year Forward Valuation&quot;"/>
    <numFmt numFmtId="169" formatCode="0&quot; Year Forward EPS&quot;"/>
  </numFmts>
  <fonts count="11" x14ac:knownFonts="1">
    <font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0"/>
      <name val="Arial Narrow"/>
      <family val="2"/>
    </font>
    <font>
      <b/>
      <sz val="14"/>
      <color theme="0"/>
      <name val="Arial Narrow"/>
      <family val="2"/>
    </font>
    <font>
      <sz val="11"/>
      <name val="Arial Narrow"/>
      <family val="2"/>
    </font>
    <font>
      <sz val="8"/>
      <color theme="1"/>
      <name val="Calibri"/>
      <family val="2"/>
      <scheme val="minor"/>
    </font>
    <font>
      <sz val="11"/>
      <color rgb="FF0000FF"/>
      <name val="Arial Narrow"/>
      <family val="2"/>
    </font>
    <font>
      <b/>
      <sz val="9"/>
      <name val="Arial Narrow"/>
      <family val="2"/>
    </font>
    <font>
      <b/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1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3" fillId="2" borderId="0" xfId="0" applyFont="1" applyFill="1"/>
    <xf numFmtId="164" fontId="3" fillId="2" borderId="0" xfId="0" applyNumberFormat="1" applyFont="1" applyFill="1"/>
    <xf numFmtId="0" fontId="3" fillId="3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2" fillId="4" borderId="0" xfId="0" applyFont="1" applyFill="1"/>
    <xf numFmtId="0" fontId="3" fillId="4" borderId="0" xfId="0" applyFont="1" applyFill="1"/>
    <xf numFmtId="0" fontId="4" fillId="0" borderId="0" xfId="0" applyFont="1"/>
    <xf numFmtId="0" fontId="5" fillId="0" borderId="0" xfId="0" applyFont="1" applyAlignment="1">
      <alignment horizontal="center"/>
    </xf>
    <xf numFmtId="166" fontId="0" fillId="0" borderId="0" xfId="0" applyNumberFormat="1"/>
    <xf numFmtId="2" fontId="0" fillId="0" borderId="0" xfId="1" applyNumberFormat="1" applyFont="1"/>
    <xf numFmtId="0" fontId="7" fillId="0" borderId="1" xfId="0" applyFont="1" applyBorder="1" applyAlignment="1">
      <alignment horizontal="center"/>
    </xf>
    <xf numFmtId="166" fontId="8" fillId="0" borderId="0" xfId="0" applyNumberFormat="1" applyFont="1"/>
    <xf numFmtId="0" fontId="0" fillId="6" borderId="0" xfId="0" applyFill="1"/>
    <xf numFmtId="167" fontId="0" fillId="0" borderId="0" xfId="0" applyNumberFormat="1"/>
    <xf numFmtId="2" fontId="0" fillId="0" borderId="0" xfId="0" applyNumberFormat="1"/>
    <xf numFmtId="9" fontId="0" fillId="0" borderId="0" xfId="1" applyFont="1"/>
    <xf numFmtId="14" fontId="0" fillId="0" borderId="0" xfId="0" applyNumberFormat="1"/>
    <xf numFmtId="164" fontId="3" fillId="7" borderId="0" xfId="0" applyNumberFormat="1" applyFont="1" applyFill="1"/>
    <xf numFmtId="10" fontId="0" fillId="0" borderId="0" xfId="1" applyNumberFormat="1" applyFont="1"/>
    <xf numFmtId="9" fontId="0" fillId="0" borderId="0" xfId="0" applyNumberFormat="1"/>
    <xf numFmtId="0" fontId="4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168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169" fontId="0" fillId="0" borderId="0" xfId="0" applyNumberFormat="1" applyAlignment="1">
      <alignment horizontal="left"/>
    </xf>
    <xf numFmtId="0" fontId="2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165" fontId="6" fillId="0" borderId="0" xfId="0" applyNumberFormat="1" applyFont="1" applyAlignment="1">
      <alignment horizontal="center"/>
    </xf>
    <xf numFmtId="0" fontId="2" fillId="5" borderId="0" xfId="0" applyFont="1" applyFill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2" fontId="8" fillId="0" borderId="0" xfId="0" applyNumberFormat="1" applyFont="1" applyAlignment="1">
      <alignment horizontal="center"/>
    </xf>
    <xf numFmtId="0" fontId="0" fillId="6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1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000099"/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158750</xdr:colOff>
      <xdr:row>59</xdr:row>
      <xdr:rowOff>0</xdr:rowOff>
    </xdr:from>
    <xdr:to>
      <xdr:col>22</xdr:col>
      <xdr:colOff>501650</xdr:colOff>
      <xdr:row>67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A914F1-9707-47FA-82A1-A74C8B999E5C}"/>
            </a:ext>
          </a:extLst>
        </xdr:cNvPr>
        <xdr:cNvSpPr txBox="1"/>
      </xdr:nvSpPr>
      <xdr:spPr>
        <a:xfrm>
          <a:off x="10566400" y="10922000"/>
          <a:ext cx="4622800" cy="176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100"/>
            <a:t>Returns are not</a:t>
          </a:r>
          <a:r>
            <a:rPr lang="en-SG" sz="1100" baseline="0"/>
            <a:t> inclusive of dividend payouts. </a:t>
          </a:r>
          <a:endParaRPr lang="en-SG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 " id="{7B9349FE-EC3C-44E9-9BAC-B67908C6DBD6}" userId="9a1018015a23b24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7" dT="2019-04-02T18:20:34.89" personId="{7B9349FE-EC3C-44E9-9BAC-B67908C6DBD6}" id="{6EA8614C-E7EE-452D-83A5-04072AF9AE22}">
    <text>This Super conservative valuation assumes a reversion to the industry average P/E ratio of 9.03 (Found under Industry Data Sheet)</text>
  </threadedComment>
  <threadedComment ref="N64" dT="2019-04-02T18:21:07.25" personId="{7B9349FE-EC3C-44E9-9BAC-B67908C6DBD6}" id="{B935DB9F-CEEF-490B-9BAE-AE4C78DFA5A4}">
    <text>This Convervative valuation assumes a reversion to the current P/E ratio of the STI index of 11.26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B923-B4BF-4948-9E70-A5EC0D6D28D3}">
  <sheetPr codeName="Sheet1"/>
  <dimension ref="A1:V84"/>
  <sheetViews>
    <sheetView showGridLines="0" tabSelected="1"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53" sqref="C53"/>
    </sheetView>
  </sheetViews>
  <sheetFormatPr defaultRowHeight="14" outlineLevelRow="2" x14ac:dyDescent="0.3"/>
  <cols>
    <col min="5" max="17" width="11.69921875" customWidth="1"/>
  </cols>
  <sheetData>
    <row r="1" spans="1:22" ht="18" x14ac:dyDescent="0.4">
      <c r="A1" s="3"/>
      <c r="B1" s="3"/>
      <c r="C1" s="3"/>
      <c r="D1" s="3"/>
      <c r="E1" s="31" t="s">
        <v>1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</row>
    <row r="2" spans="1:22" ht="18" x14ac:dyDescent="0.4">
      <c r="A2" s="4" t="s">
        <v>0</v>
      </c>
      <c r="B2" s="1"/>
      <c r="C2" s="1"/>
      <c r="D2" s="1"/>
      <c r="E2" s="2">
        <v>2006</v>
      </c>
      <c r="F2" s="2">
        <f>E2+1</f>
        <v>2007</v>
      </c>
      <c r="G2" s="2">
        <f t="shared" ref="G2:P2" si="0">F2+1</f>
        <v>2008</v>
      </c>
      <c r="H2" s="2">
        <f t="shared" si="0"/>
        <v>2009</v>
      </c>
      <c r="I2" s="2">
        <f t="shared" si="0"/>
        <v>2010</v>
      </c>
      <c r="J2" s="2">
        <f t="shared" si="0"/>
        <v>2011</v>
      </c>
      <c r="K2" s="2">
        <f t="shared" si="0"/>
        <v>2012</v>
      </c>
      <c r="L2" s="2">
        <f t="shared" si="0"/>
        <v>2013</v>
      </c>
      <c r="M2" s="2">
        <f t="shared" si="0"/>
        <v>2014</v>
      </c>
      <c r="N2" s="2">
        <f t="shared" si="0"/>
        <v>2015</v>
      </c>
      <c r="O2" s="2">
        <f t="shared" si="0"/>
        <v>2016</v>
      </c>
      <c r="P2" s="2">
        <f t="shared" si="0"/>
        <v>2017</v>
      </c>
      <c r="Q2" s="2">
        <f t="shared" ref="Q2" si="1">P2+1</f>
        <v>2018</v>
      </c>
      <c r="R2" s="20"/>
    </row>
    <row r="3" spans="1:22" x14ac:dyDescent="0.3">
      <c r="A3" s="5"/>
      <c r="B3" s="5"/>
      <c r="C3" s="5"/>
      <c r="D3" s="5"/>
      <c r="E3" s="13" t="s">
        <v>25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1:22" ht="18" x14ac:dyDescent="0.4">
      <c r="A4" s="7" t="s">
        <v>2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spans="1:22" ht="18" outlineLevel="1" x14ac:dyDescent="0.4">
      <c r="A5" s="9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22" outlineLevel="1" x14ac:dyDescent="0.3">
      <c r="A6" s="7" t="str">
        <f>"Income Statement "&amp; A2</f>
        <v>Income Statement SGD $1000's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1:22" outlineLevel="2" x14ac:dyDescent="0.3">
      <c r="A7" s="23" t="s">
        <v>3</v>
      </c>
      <c r="B7" s="23"/>
      <c r="C7" s="23"/>
      <c r="D7" s="23"/>
      <c r="E7" s="11">
        <v>31702</v>
      </c>
      <c r="F7" s="11">
        <v>34695</v>
      </c>
      <c r="G7" s="11">
        <v>38205</v>
      </c>
      <c r="H7" s="11">
        <v>33143</v>
      </c>
      <c r="I7" s="11">
        <v>40959</v>
      </c>
      <c r="J7" s="11">
        <v>45308</v>
      </c>
      <c r="K7" s="11">
        <v>38793</v>
      </c>
      <c r="L7" s="11">
        <v>39153</v>
      </c>
      <c r="M7" s="11">
        <v>43856</v>
      </c>
      <c r="N7" s="11">
        <v>52197</v>
      </c>
      <c r="O7" s="11">
        <v>51251</v>
      </c>
      <c r="P7" s="11">
        <v>57229</v>
      </c>
      <c r="Q7" s="11">
        <v>65101</v>
      </c>
    </row>
    <row r="8" spans="1:22" outlineLevel="2" x14ac:dyDescent="0.3">
      <c r="A8" s="23" t="s">
        <v>4</v>
      </c>
      <c r="B8" s="23"/>
      <c r="C8" s="23"/>
      <c r="D8" s="23"/>
      <c r="E8" s="11">
        <v>7731</v>
      </c>
      <c r="F8" s="11">
        <v>8301</v>
      </c>
      <c r="G8" s="11">
        <v>8858</v>
      </c>
      <c r="H8" s="11">
        <v>1133</v>
      </c>
      <c r="I8" s="11">
        <v>5088</v>
      </c>
      <c r="J8" s="11">
        <v>5518</v>
      </c>
      <c r="K8" s="11">
        <v>4277</v>
      </c>
      <c r="L8" s="11">
        <v>5128</v>
      </c>
      <c r="M8" s="11">
        <v>7343</v>
      </c>
      <c r="N8" s="11">
        <v>11334</v>
      </c>
      <c r="O8" s="11">
        <v>10309</v>
      </c>
      <c r="P8" s="11">
        <v>14259</v>
      </c>
      <c r="Q8" s="11">
        <v>18046</v>
      </c>
      <c r="T8" s="10"/>
      <c r="U8" s="10"/>
      <c r="V8" s="10"/>
    </row>
    <row r="9" spans="1:22" outlineLevel="2" x14ac:dyDescent="0.3">
      <c r="A9" s="23" t="s">
        <v>5</v>
      </c>
      <c r="B9" s="23"/>
      <c r="C9" s="23"/>
      <c r="D9" s="23"/>
      <c r="E9" s="11">
        <v>12223</v>
      </c>
      <c r="F9" s="11">
        <v>14552</v>
      </c>
      <c r="G9" s="11">
        <v>15971</v>
      </c>
      <c r="H9" s="11">
        <v>20268</v>
      </c>
      <c r="I9" s="11">
        <v>21508</v>
      </c>
      <c r="J9" s="11">
        <v>24517</v>
      </c>
      <c r="K9" s="11">
        <v>20819</v>
      </c>
      <c r="L9" s="11">
        <v>19945</v>
      </c>
      <c r="M9" s="11">
        <v>21620</v>
      </c>
      <c r="N9" s="11">
        <v>23510</v>
      </c>
      <c r="O9" s="11">
        <v>22113</v>
      </c>
      <c r="P9" s="11">
        <v>24361</v>
      </c>
      <c r="Q9" s="11">
        <v>28012</v>
      </c>
      <c r="T9" s="10"/>
      <c r="U9" s="10"/>
      <c r="V9" s="10"/>
    </row>
    <row r="10" spans="1:22" outlineLevel="2" x14ac:dyDescent="0.3">
      <c r="A10" s="23" t="s">
        <v>6</v>
      </c>
      <c r="B10" s="23"/>
      <c r="C10" s="23"/>
      <c r="D10" s="23"/>
      <c r="E10" s="11">
        <v>10544</v>
      </c>
      <c r="F10" s="11">
        <v>10266</v>
      </c>
      <c r="G10" s="11">
        <v>11545</v>
      </c>
      <c r="H10" s="11">
        <v>12038</v>
      </c>
      <c r="I10" s="11">
        <v>13242</v>
      </c>
      <c r="J10" s="11">
        <v>12805</v>
      </c>
      <c r="K10" s="11">
        <v>12851</v>
      </c>
      <c r="L10" s="11">
        <v>13106</v>
      </c>
      <c r="M10" s="11">
        <v>13499</v>
      </c>
      <c r="N10" s="11">
        <v>14755</v>
      </c>
      <c r="O10" s="11">
        <v>14132</v>
      </c>
      <c r="P10" s="11">
        <v>15089</v>
      </c>
      <c r="Q10" s="11">
        <v>16016</v>
      </c>
      <c r="T10" s="10"/>
      <c r="U10" s="10"/>
      <c r="V10" s="10"/>
    </row>
    <row r="11" spans="1:22" outlineLevel="2" x14ac:dyDescent="0.3">
      <c r="A11" s="23" t="s">
        <v>91</v>
      </c>
      <c r="B11" s="23"/>
      <c r="C11" s="23"/>
      <c r="D11" s="23"/>
      <c r="E11" s="14">
        <f>E10+E9</f>
        <v>22767</v>
      </c>
      <c r="F11" s="14">
        <f t="shared" ref="F11:Q11" si="2">F10+F9</f>
        <v>24818</v>
      </c>
      <c r="G11" s="14">
        <f t="shared" si="2"/>
        <v>27516</v>
      </c>
      <c r="H11" s="14">
        <f t="shared" si="2"/>
        <v>32306</v>
      </c>
      <c r="I11" s="14">
        <f t="shared" si="2"/>
        <v>34750</v>
      </c>
      <c r="J11" s="14">
        <f t="shared" si="2"/>
        <v>37322</v>
      </c>
      <c r="K11" s="14">
        <f t="shared" si="2"/>
        <v>33670</v>
      </c>
      <c r="L11" s="14">
        <f t="shared" si="2"/>
        <v>33051</v>
      </c>
      <c r="M11" s="14">
        <f t="shared" si="2"/>
        <v>35119</v>
      </c>
      <c r="N11" s="14">
        <f t="shared" si="2"/>
        <v>38265</v>
      </c>
      <c r="O11" s="14">
        <f t="shared" si="2"/>
        <v>36245</v>
      </c>
      <c r="P11" s="14">
        <f t="shared" si="2"/>
        <v>39450</v>
      </c>
      <c r="Q11" s="14">
        <f t="shared" si="2"/>
        <v>44028</v>
      </c>
      <c r="T11" s="10"/>
      <c r="U11" s="10"/>
      <c r="V11" s="10"/>
    </row>
    <row r="12" spans="1:22" outlineLevel="2" x14ac:dyDescent="0.3">
      <c r="A12" s="5"/>
      <c r="B12" s="5"/>
      <c r="C12" s="5"/>
      <c r="D12" s="5"/>
      <c r="T12" s="10"/>
      <c r="U12" s="10"/>
      <c r="V12" s="10"/>
    </row>
    <row r="13" spans="1:22" outlineLevel="2" x14ac:dyDescent="0.3">
      <c r="A13" s="5"/>
      <c r="B13" s="5"/>
      <c r="C13" s="5"/>
      <c r="D13" s="5"/>
      <c r="T13" s="10"/>
      <c r="U13" s="10"/>
      <c r="V13" s="10"/>
    </row>
    <row r="14" spans="1:22" outlineLevel="2" x14ac:dyDescent="0.3">
      <c r="A14" s="5"/>
      <c r="B14" s="5"/>
      <c r="C14" s="5"/>
      <c r="D14" s="5"/>
      <c r="T14" s="10"/>
      <c r="U14" s="10"/>
      <c r="V14" s="10"/>
    </row>
    <row r="15" spans="1:22" outlineLevel="2" x14ac:dyDescent="0.3">
      <c r="A15" s="5"/>
      <c r="B15" s="5"/>
      <c r="C15" s="5"/>
      <c r="D15" s="5"/>
      <c r="T15" s="10"/>
      <c r="U15" s="10"/>
      <c r="V15" s="10"/>
    </row>
    <row r="16" spans="1:22" outlineLevel="2" x14ac:dyDescent="0.3">
      <c r="A16" s="5"/>
      <c r="B16" s="5"/>
      <c r="C16" s="5"/>
      <c r="D16" s="5"/>
      <c r="T16" s="10"/>
      <c r="U16" s="10"/>
      <c r="V16" s="10"/>
    </row>
    <row r="17" spans="1:22" outlineLevel="2" x14ac:dyDescent="0.3">
      <c r="A17" s="5"/>
      <c r="B17" s="5"/>
      <c r="C17" s="5"/>
      <c r="D17" s="5"/>
      <c r="T17" s="10"/>
      <c r="U17" s="10"/>
      <c r="V17" s="10"/>
    </row>
    <row r="18" spans="1:22" outlineLevel="1" x14ac:dyDescent="0.3">
      <c r="A18" s="5"/>
      <c r="B18" s="5"/>
      <c r="C18" s="5"/>
      <c r="D18" s="5"/>
      <c r="T18" s="10"/>
      <c r="U18" s="10"/>
      <c r="V18" s="10"/>
    </row>
    <row r="19" spans="1:22" outlineLevel="1" x14ac:dyDescent="0.3">
      <c r="A19" s="7" t="str">
        <f>"Balance Sheet "&amp;A2</f>
        <v>Balance Sheet SGD $1000's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T19" s="10"/>
      <c r="U19" s="10"/>
      <c r="V19" s="10"/>
    </row>
    <row r="20" spans="1:22" outlineLevel="2" x14ac:dyDescent="0.3">
      <c r="A20" s="23" t="s">
        <v>10</v>
      </c>
      <c r="B20" s="23"/>
      <c r="C20" s="23"/>
      <c r="D20" s="23"/>
      <c r="E20" s="11">
        <v>19897</v>
      </c>
      <c r="F20" s="11">
        <v>20659</v>
      </c>
      <c r="G20" s="11">
        <v>20251</v>
      </c>
      <c r="H20" s="11">
        <v>16140</v>
      </c>
      <c r="I20" s="11">
        <v>20567</v>
      </c>
      <c r="J20" s="11">
        <v>18963</v>
      </c>
      <c r="K20" s="11">
        <v>16273</v>
      </c>
      <c r="L20" s="11">
        <v>19931</v>
      </c>
      <c r="M20" s="11">
        <v>23778</v>
      </c>
      <c r="N20" s="11">
        <v>28838</v>
      </c>
      <c r="O20" s="11">
        <v>33691</v>
      </c>
      <c r="P20" s="11">
        <v>38998</v>
      </c>
      <c r="Q20" s="11">
        <v>37564</v>
      </c>
      <c r="T20" s="10"/>
    </row>
    <row r="21" spans="1:22" outlineLevel="2" x14ac:dyDescent="0.3">
      <c r="A21" s="23" t="s">
        <v>11</v>
      </c>
      <c r="B21" s="23"/>
      <c r="C21" s="23"/>
      <c r="D21" s="23"/>
      <c r="E21" s="11">
        <v>4233</v>
      </c>
      <c r="F21" s="11">
        <v>4257</v>
      </c>
      <c r="G21" s="11">
        <v>5093</v>
      </c>
      <c r="H21" s="11">
        <v>4077</v>
      </c>
      <c r="I21" s="11">
        <v>6279</v>
      </c>
      <c r="J21" s="11">
        <v>5414</v>
      </c>
      <c r="K21" s="11">
        <v>5172</v>
      </c>
      <c r="L21" s="11">
        <v>5695</v>
      </c>
      <c r="M21" s="11">
        <v>8539</v>
      </c>
      <c r="N21" s="11">
        <v>7527</v>
      </c>
      <c r="O21" s="11">
        <v>7545</v>
      </c>
      <c r="P21" s="11">
        <v>9137</v>
      </c>
      <c r="Q21" s="11">
        <v>9623</v>
      </c>
      <c r="T21" s="10"/>
    </row>
    <row r="22" spans="1:22" outlineLevel="2" x14ac:dyDescent="0.3">
      <c r="A22" s="23" t="s">
        <v>12</v>
      </c>
      <c r="B22" s="23"/>
      <c r="C22" s="23"/>
      <c r="D22" s="23"/>
      <c r="E22" s="11">
        <v>19272</v>
      </c>
      <c r="F22" s="11">
        <v>21981</v>
      </c>
      <c r="G22" s="11">
        <v>23223</v>
      </c>
      <c r="H22" s="11">
        <v>22098</v>
      </c>
      <c r="I22" s="11">
        <v>22519</v>
      </c>
      <c r="J22" s="11">
        <v>24702</v>
      </c>
      <c r="K22" s="11">
        <v>27343</v>
      </c>
      <c r="L22" s="11">
        <v>25043</v>
      </c>
      <c r="M22" s="11">
        <v>27157</v>
      </c>
      <c r="N22" s="11">
        <v>26918</v>
      </c>
      <c r="O22" s="11">
        <v>25644</v>
      </c>
      <c r="P22" s="11">
        <v>26586</v>
      </c>
      <c r="Q22" s="11">
        <v>35726</v>
      </c>
      <c r="T22" s="10"/>
    </row>
    <row r="23" spans="1:22" outlineLevel="2" x14ac:dyDescent="0.3">
      <c r="A23" s="23" t="s">
        <v>13</v>
      </c>
      <c r="B23" s="23"/>
      <c r="C23" s="23"/>
      <c r="D23" s="23"/>
      <c r="E23" s="11">
        <v>770</v>
      </c>
      <c r="F23" s="11">
        <v>996</v>
      </c>
      <c r="G23" s="11">
        <v>982</v>
      </c>
      <c r="H23" s="11">
        <v>1118</v>
      </c>
      <c r="I23" s="11">
        <v>1448</v>
      </c>
      <c r="J23" s="11">
        <v>1472</v>
      </c>
      <c r="K23" s="11">
        <v>1461</v>
      </c>
      <c r="L23" s="11">
        <v>1339</v>
      </c>
      <c r="M23" s="11">
        <v>1283</v>
      </c>
      <c r="N23" s="11">
        <v>1547</v>
      </c>
      <c r="O23" s="11">
        <v>1344</v>
      </c>
      <c r="P23" s="11">
        <v>1686</v>
      </c>
      <c r="Q23" s="11">
        <v>3362</v>
      </c>
      <c r="T23" s="10"/>
    </row>
    <row r="24" spans="1:22" outlineLevel="2" x14ac:dyDescent="0.3">
      <c r="A24" s="23" t="s">
        <v>14</v>
      </c>
      <c r="B24" s="23"/>
      <c r="C24" s="23"/>
      <c r="D24" s="23"/>
      <c r="E24" s="11">
        <v>5003</v>
      </c>
      <c r="F24" s="11">
        <v>5254</v>
      </c>
      <c r="G24" s="11">
        <v>6075</v>
      </c>
      <c r="H24" s="11">
        <v>5196</v>
      </c>
      <c r="I24" s="11">
        <v>7727</v>
      </c>
      <c r="J24" s="11">
        <v>6887</v>
      </c>
      <c r="K24" s="11">
        <v>6633</v>
      </c>
      <c r="L24" s="11">
        <v>7034</v>
      </c>
      <c r="M24" s="11">
        <v>9823</v>
      </c>
      <c r="N24" s="11">
        <v>8871</v>
      </c>
      <c r="O24" s="11">
        <v>9092</v>
      </c>
      <c r="P24" s="11">
        <v>10823</v>
      </c>
      <c r="Q24" s="11">
        <v>12986</v>
      </c>
      <c r="T24" s="10"/>
    </row>
    <row r="25" spans="1:22" outlineLevel="2" x14ac:dyDescent="0.3">
      <c r="A25" s="23" t="s">
        <v>15</v>
      </c>
      <c r="B25" s="23"/>
      <c r="C25" s="23"/>
      <c r="D25" s="23"/>
      <c r="E25" s="11">
        <v>34166</v>
      </c>
      <c r="F25" s="11">
        <v>37386</v>
      </c>
      <c r="G25" s="11">
        <v>37399</v>
      </c>
      <c r="H25" s="11">
        <v>33043</v>
      </c>
      <c r="I25" s="11">
        <v>35358</v>
      </c>
      <c r="J25" s="11">
        <v>36779</v>
      </c>
      <c r="K25" s="11">
        <v>36983</v>
      </c>
      <c r="L25" s="11">
        <v>37940</v>
      </c>
      <c r="M25" s="11">
        <v>41112</v>
      </c>
      <c r="N25" s="11">
        <v>46885</v>
      </c>
      <c r="O25" s="11">
        <v>50243</v>
      </c>
      <c r="P25" s="11">
        <v>54771</v>
      </c>
      <c r="Q25" s="11">
        <v>60304</v>
      </c>
      <c r="T25" s="10"/>
    </row>
    <row r="26" spans="1:22" outlineLevel="2" x14ac:dyDescent="0.3">
      <c r="A26" s="23" t="s">
        <v>22</v>
      </c>
      <c r="B26" s="23"/>
      <c r="C26" s="23"/>
      <c r="D26" s="23"/>
      <c r="E26" s="11">
        <v>12864</v>
      </c>
      <c r="F26" s="11">
        <v>13635</v>
      </c>
      <c r="G26" s="11">
        <v>11488</v>
      </c>
      <c r="H26" s="11">
        <v>7481</v>
      </c>
      <c r="I26" s="11">
        <v>9952</v>
      </c>
      <c r="J26" s="11">
        <v>7463</v>
      </c>
      <c r="K26" s="11">
        <v>5969</v>
      </c>
      <c r="L26" s="11">
        <v>9152</v>
      </c>
      <c r="M26" s="11">
        <v>11081</v>
      </c>
      <c r="N26" s="11">
        <v>15161</v>
      </c>
      <c r="O26" s="11">
        <v>20075</v>
      </c>
      <c r="P26" s="11">
        <v>23422</v>
      </c>
      <c r="Q26" s="11">
        <v>21087</v>
      </c>
      <c r="T26" s="10"/>
    </row>
    <row r="27" spans="1:22" outlineLevel="2" x14ac:dyDescent="0.3">
      <c r="A27" s="23" t="s">
        <v>21</v>
      </c>
      <c r="B27" s="23"/>
      <c r="C27" s="23"/>
      <c r="D27" s="23"/>
      <c r="E27" s="11">
        <v>138485881</v>
      </c>
      <c r="F27" s="11">
        <v>138485881</v>
      </c>
      <c r="G27" s="11">
        <v>138485881</v>
      </c>
      <c r="H27" s="11">
        <v>138486344</v>
      </c>
      <c r="I27" s="11">
        <v>138654881</v>
      </c>
      <c r="J27" s="11">
        <v>138779402</v>
      </c>
      <c r="K27" s="11">
        <v>138969239</v>
      </c>
      <c r="L27" s="11">
        <v>139031881</v>
      </c>
      <c r="M27" s="11">
        <v>139031881</v>
      </c>
      <c r="N27" s="11">
        <v>139031881</v>
      </c>
      <c r="O27" s="11">
        <v>139031881</v>
      </c>
      <c r="P27" s="11">
        <v>139031881</v>
      </c>
      <c r="Q27" s="11">
        <v>139031881</v>
      </c>
      <c r="T27" s="10"/>
    </row>
    <row r="28" spans="1:22" outlineLevel="2" x14ac:dyDescent="0.3">
      <c r="T28" s="10"/>
    </row>
    <row r="29" spans="1:22" outlineLevel="2" x14ac:dyDescent="0.3">
      <c r="T29" s="10"/>
    </row>
    <row r="30" spans="1:22" outlineLevel="2" x14ac:dyDescent="0.3">
      <c r="T30" s="10"/>
    </row>
    <row r="31" spans="1:22" outlineLevel="2" x14ac:dyDescent="0.3">
      <c r="T31" s="10"/>
    </row>
    <row r="32" spans="1:22" outlineLevel="1" x14ac:dyDescent="0.3">
      <c r="T32" s="10"/>
    </row>
    <row r="33" spans="1:17" outlineLevel="1" x14ac:dyDescent="0.3">
      <c r="A33" s="7" t="str">
        <f>"Cash Flow Statement "&amp;A2</f>
        <v>Cash Flow Statement SGD $1000's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</row>
    <row r="34" spans="1:17" outlineLevel="2" x14ac:dyDescent="0.3">
      <c r="A34" s="23" t="s">
        <v>8</v>
      </c>
      <c r="B34" s="23"/>
      <c r="C34" s="23"/>
      <c r="D34" s="23"/>
      <c r="E34" s="11">
        <v>10667</v>
      </c>
      <c r="F34" s="11">
        <v>11819</v>
      </c>
      <c r="G34" s="11">
        <v>10600</v>
      </c>
      <c r="H34" s="11">
        <v>4134</v>
      </c>
      <c r="I34" s="11">
        <v>8651</v>
      </c>
      <c r="J34" s="11">
        <v>8699</v>
      </c>
      <c r="K34" s="11">
        <v>9019</v>
      </c>
      <c r="L34" s="11">
        <v>8831</v>
      </c>
      <c r="M34" s="11">
        <v>10839</v>
      </c>
      <c r="N34" s="11">
        <v>14147</v>
      </c>
      <c r="O34" s="11">
        <v>16312</v>
      </c>
      <c r="P34" s="11">
        <v>18095</v>
      </c>
      <c r="Q34" s="11">
        <v>22414</v>
      </c>
    </row>
    <row r="35" spans="1:17" outlineLevel="2" x14ac:dyDescent="0.3">
      <c r="A35" s="23" t="s">
        <v>9</v>
      </c>
      <c r="B35" s="23"/>
      <c r="C35" s="23"/>
      <c r="D35" s="23"/>
      <c r="E35" s="11">
        <v>4400</v>
      </c>
      <c r="F35" s="11">
        <v>5532</v>
      </c>
      <c r="G35" s="11">
        <v>4586</v>
      </c>
      <c r="H35" s="11">
        <v>3012</v>
      </c>
      <c r="I35" s="11">
        <v>3623</v>
      </c>
      <c r="J35" s="11">
        <v>6738</v>
      </c>
      <c r="K35" s="11">
        <v>6505</v>
      </c>
      <c r="L35" s="11">
        <v>2637</v>
      </c>
      <c r="M35" s="11">
        <v>5216</v>
      </c>
      <c r="N35" s="11">
        <v>4916</v>
      </c>
      <c r="O35" s="11">
        <v>4095</v>
      </c>
      <c r="P35" s="11">
        <v>5094</v>
      </c>
      <c r="Q35" s="11">
        <v>12120</v>
      </c>
    </row>
    <row r="36" spans="1:17" outlineLevel="2" x14ac:dyDescent="0.3"/>
    <row r="37" spans="1:17" outlineLevel="2" x14ac:dyDescent="0.3"/>
    <row r="38" spans="1:17" outlineLevel="2" x14ac:dyDescent="0.3"/>
    <row r="39" spans="1:17" outlineLevel="2" x14ac:dyDescent="0.3"/>
    <row r="40" spans="1:17" outlineLevel="2" x14ac:dyDescent="0.3"/>
    <row r="41" spans="1:17" outlineLevel="2" x14ac:dyDescent="0.3"/>
    <row r="42" spans="1:17" outlineLevel="1" x14ac:dyDescent="0.3"/>
    <row r="44" spans="1:17" ht="18" x14ac:dyDescent="0.4">
      <c r="A44" s="7" t="str">
        <f>"Key Metrics " &amp; A2</f>
        <v>Key Metrics SGD $1000's</v>
      </c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</row>
    <row r="45" spans="1:17" outlineLevel="1" x14ac:dyDescent="0.3">
      <c r="A45" s="23" t="s">
        <v>16</v>
      </c>
      <c r="B45" s="23"/>
      <c r="C45" s="23"/>
      <c r="D45" s="23"/>
      <c r="E45" s="18">
        <f t="shared" ref="E45:O45" si="3">E8/E7</f>
        <v>0.24386474039492775</v>
      </c>
      <c r="F45" s="18">
        <f t="shared" si="3"/>
        <v>0.23925637699956767</v>
      </c>
      <c r="G45" s="18">
        <f t="shared" si="3"/>
        <v>0.23185446931029971</v>
      </c>
      <c r="H45" s="18">
        <f t="shared" si="3"/>
        <v>3.418519747759708E-2</v>
      </c>
      <c r="I45" s="18">
        <f t="shared" si="3"/>
        <v>0.12422178275836812</v>
      </c>
      <c r="J45" s="18">
        <f t="shared" si="3"/>
        <v>0.12178864659662753</v>
      </c>
      <c r="K45" s="18">
        <f t="shared" si="3"/>
        <v>0.11025184956048771</v>
      </c>
      <c r="L45" s="18">
        <f t="shared" si="3"/>
        <v>0.13097336091742651</v>
      </c>
      <c r="M45" s="18">
        <f t="shared" si="3"/>
        <v>0.16743433053630061</v>
      </c>
      <c r="N45" s="18">
        <f t="shared" si="3"/>
        <v>0.21713891602965688</v>
      </c>
      <c r="O45" s="18">
        <f t="shared" si="3"/>
        <v>0.20114729468693293</v>
      </c>
      <c r="P45" s="18">
        <f t="shared" ref="P45:Q45" si="4">P8/P7</f>
        <v>0.24915689597931118</v>
      </c>
      <c r="Q45" s="18">
        <f t="shared" si="4"/>
        <v>0.27720004301009199</v>
      </c>
    </row>
    <row r="46" spans="1:17" outlineLevel="1" x14ac:dyDescent="0.3">
      <c r="A46" s="23" t="s">
        <v>17</v>
      </c>
      <c r="B46" s="23"/>
      <c r="C46" s="23"/>
      <c r="D46" s="23"/>
      <c r="E46" s="18">
        <f t="shared" ref="E46:O46" si="5">E8/E25</f>
        <v>0.2262775859041152</v>
      </c>
      <c r="F46" s="18">
        <f t="shared" si="5"/>
        <v>0.22203498635852992</v>
      </c>
      <c r="G46" s="18">
        <f t="shared" si="5"/>
        <v>0.23685125270729163</v>
      </c>
      <c r="H46" s="18">
        <f t="shared" si="5"/>
        <v>3.428865417788942E-2</v>
      </c>
      <c r="I46" s="18">
        <f t="shared" si="5"/>
        <v>0.14389954182928899</v>
      </c>
      <c r="J46" s="18">
        <f t="shared" si="5"/>
        <v>0.15003126784306262</v>
      </c>
      <c r="K46" s="18">
        <f t="shared" si="5"/>
        <v>0.11564773003812563</v>
      </c>
      <c r="L46" s="18">
        <f t="shared" si="5"/>
        <v>0.13516078017923036</v>
      </c>
      <c r="M46" s="18">
        <f t="shared" si="5"/>
        <v>0.17860965168320686</v>
      </c>
      <c r="N46" s="18">
        <f t="shared" si="5"/>
        <v>0.24174042870854218</v>
      </c>
      <c r="O46" s="18">
        <f t="shared" si="5"/>
        <v>0.20518281153593534</v>
      </c>
      <c r="P46" s="18">
        <f t="shared" ref="P46:Q46" si="6">P8/P25</f>
        <v>0.26033850030125433</v>
      </c>
      <c r="Q46" s="18">
        <f t="shared" si="6"/>
        <v>0.29925046431414171</v>
      </c>
    </row>
    <row r="47" spans="1:17" outlineLevel="1" x14ac:dyDescent="0.3">
      <c r="A47" s="23" t="s">
        <v>18</v>
      </c>
      <c r="B47" s="23"/>
      <c r="C47" s="23"/>
      <c r="D47" s="23"/>
      <c r="E47" s="11">
        <f t="shared" ref="E47:O47" si="7">E34-E35</f>
        <v>6267</v>
      </c>
      <c r="F47" s="11">
        <f t="shared" si="7"/>
        <v>6287</v>
      </c>
      <c r="G47" s="11">
        <f t="shared" si="7"/>
        <v>6014</v>
      </c>
      <c r="H47" s="11">
        <f t="shared" si="7"/>
        <v>1122</v>
      </c>
      <c r="I47" s="11">
        <f t="shared" si="7"/>
        <v>5028</v>
      </c>
      <c r="J47" s="11">
        <f t="shared" si="7"/>
        <v>1961</v>
      </c>
      <c r="K47" s="11">
        <f t="shared" si="7"/>
        <v>2514</v>
      </c>
      <c r="L47" s="11">
        <f t="shared" si="7"/>
        <v>6194</v>
      </c>
      <c r="M47" s="11">
        <f t="shared" si="7"/>
        <v>5623</v>
      </c>
      <c r="N47" s="11">
        <f t="shared" si="7"/>
        <v>9231</v>
      </c>
      <c r="O47" s="11">
        <f t="shared" si="7"/>
        <v>12217</v>
      </c>
      <c r="P47" s="11">
        <f t="shared" ref="P47:Q47" si="8">P34-P35</f>
        <v>13001</v>
      </c>
      <c r="Q47" s="11">
        <f t="shared" si="8"/>
        <v>10294</v>
      </c>
    </row>
    <row r="48" spans="1:17" outlineLevel="1" x14ac:dyDescent="0.3">
      <c r="A48" s="23" t="s">
        <v>19</v>
      </c>
      <c r="B48" s="23"/>
      <c r="C48" s="23"/>
      <c r="D48" s="23"/>
      <c r="E48" s="11">
        <f t="shared" ref="E48:O48" si="9">E9+E10</f>
        <v>22767</v>
      </c>
      <c r="F48" s="11">
        <f t="shared" si="9"/>
        <v>24818</v>
      </c>
      <c r="G48" s="11">
        <f t="shared" si="9"/>
        <v>27516</v>
      </c>
      <c r="H48" s="11">
        <f t="shared" si="9"/>
        <v>32306</v>
      </c>
      <c r="I48" s="11">
        <f t="shared" si="9"/>
        <v>34750</v>
      </c>
      <c r="J48" s="11">
        <f t="shared" si="9"/>
        <v>37322</v>
      </c>
      <c r="K48" s="11">
        <f t="shared" si="9"/>
        <v>33670</v>
      </c>
      <c r="L48" s="11">
        <f t="shared" si="9"/>
        <v>33051</v>
      </c>
      <c r="M48" s="11">
        <f t="shared" si="9"/>
        <v>35119</v>
      </c>
      <c r="N48" s="11">
        <f t="shared" si="9"/>
        <v>38265</v>
      </c>
      <c r="O48" s="11">
        <f t="shared" si="9"/>
        <v>36245</v>
      </c>
      <c r="P48" s="11">
        <f t="shared" ref="P48:Q48" si="10">P9+P10</f>
        <v>39450</v>
      </c>
      <c r="Q48" s="11">
        <f t="shared" si="10"/>
        <v>44028</v>
      </c>
    </row>
    <row r="49" spans="1:17" outlineLevel="1" x14ac:dyDescent="0.3">
      <c r="A49" s="23" t="s">
        <v>20</v>
      </c>
      <c r="B49" s="23"/>
      <c r="C49" s="23"/>
      <c r="D49" s="23"/>
      <c r="E49" s="12">
        <f t="shared" ref="E49:O49" si="11">(E26-E24)/E25</f>
        <v>0.23008253819586724</v>
      </c>
      <c r="F49" s="12">
        <f t="shared" si="11"/>
        <v>0.22417482480072753</v>
      </c>
      <c r="G49" s="12">
        <f t="shared" si="11"/>
        <v>0.14473649028048879</v>
      </c>
      <c r="H49" s="12">
        <f t="shared" si="11"/>
        <v>6.9152316678267711E-2</v>
      </c>
      <c r="I49" s="12">
        <f t="shared" si="11"/>
        <v>6.2927767407658805E-2</v>
      </c>
      <c r="J49" s="12">
        <f t="shared" si="11"/>
        <v>1.5661110960058729E-2</v>
      </c>
      <c r="K49" s="12">
        <f t="shared" si="11"/>
        <v>-1.7954195170754129E-2</v>
      </c>
      <c r="L49" s="12">
        <f t="shared" si="11"/>
        <v>5.5824986821296788E-2</v>
      </c>
      <c r="M49" s="12">
        <f t="shared" si="11"/>
        <v>3.05993383926834E-2</v>
      </c>
      <c r="N49" s="12">
        <f t="shared" si="11"/>
        <v>0.13415804628345954</v>
      </c>
      <c r="O49" s="12">
        <f t="shared" si="11"/>
        <v>0.21859761558824115</v>
      </c>
      <c r="P49" s="12">
        <f t="shared" ref="P49:Q49" si="12">(P26-P24)/P25</f>
        <v>0.23003049058808495</v>
      </c>
      <c r="Q49" s="12">
        <f t="shared" si="12"/>
        <v>0.13433603077739453</v>
      </c>
    </row>
    <row r="50" spans="1:17" outlineLevel="1" x14ac:dyDescent="0.3">
      <c r="A50" s="23" t="s">
        <v>64</v>
      </c>
      <c r="B50" s="23"/>
      <c r="C50" s="23"/>
      <c r="D50" s="23"/>
      <c r="E50" s="17">
        <f t="shared" ref="E50:Q50" si="13">E8*100000/E27</f>
        <v>5.5825185529202068</v>
      </c>
      <c r="F50" s="17">
        <f t="shared" si="13"/>
        <v>5.994112858335356</v>
      </c>
      <c r="G50" s="17">
        <f t="shared" si="13"/>
        <v>6.3963199252059493</v>
      </c>
      <c r="H50" s="17">
        <f t="shared" si="13"/>
        <v>0.81813120866271116</v>
      </c>
      <c r="I50" s="17">
        <f t="shared" si="13"/>
        <v>3.669542653893302</v>
      </c>
      <c r="J50" s="17">
        <f t="shared" si="13"/>
        <v>3.9760943774638835</v>
      </c>
      <c r="K50" s="17">
        <f t="shared" si="13"/>
        <v>3.0776595099581714</v>
      </c>
      <c r="L50" s="17">
        <f t="shared" si="13"/>
        <v>3.6883626712926367</v>
      </c>
      <c r="M50" s="17">
        <f t="shared" si="13"/>
        <v>5.2815224444816362</v>
      </c>
      <c r="N50" s="17">
        <f t="shared" si="13"/>
        <v>8.1520870741869622</v>
      </c>
      <c r="O50" s="17">
        <f t="shared" si="13"/>
        <v>7.4148460956232043</v>
      </c>
      <c r="P50" s="17">
        <f t="shared" si="13"/>
        <v>10.25592108618598</v>
      </c>
      <c r="Q50" s="17">
        <f t="shared" si="13"/>
        <v>12.979756779669836</v>
      </c>
    </row>
    <row r="51" spans="1:17" outlineLevel="1" x14ac:dyDescent="0.3">
      <c r="A51" s="23" t="s">
        <v>89</v>
      </c>
      <c r="B51" s="23"/>
      <c r="C51" s="23"/>
      <c r="D51" s="23"/>
      <c r="E51" s="12">
        <f t="shared" ref="E51:Q51" si="14">E20/E21</f>
        <v>4.7004488542404914</v>
      </c>
      <c r="F51" s="12">
        <f t="shared" si="14"/>
        <v>4.8529480855062248</v>
      </c>
      <c r="G51" s="12">
        <f t="shared" si="14"/>
        <v>3.9762419006479481</v>
      </c>
      <c r="H51" s="12">
        <f t="shared" si="14"/>
        <v>3.9587932303164091</v>
      </c>
      <c r="I51" s="12">
        <f t="shared" si="14"/>
        <v>3.2755215798694062</v>
      </c>
      <c r="J51" s="12">
        <f t="shared" si="14"/>
        <v>3.5025858884373844</v>
      </c>
      <c r="K51" s="12">
        <f t="shared" si="14"/>
        <v>3.1463650425367362</v>
      </c>
      <c r="L51" s="12">
        <f t="shared" si="14"/>
        <v>3.4997366110623354</v>
      </c>
      <c r="M51" s="12">
        <f t="shared" si="14"/>
        <v>2.7846352031853847</v>
      </c>
      <c r="N51" s="12">
        <f t="shared" si="14"/>
        <v>3.8312740799787433</v>
      </c>
      <c r="O51" s="12">
        <f t="shared" si="14"/>
        <v>4.4653412856196155</v>
      </c>
      <c r="P51" s="12">
        <f t="shared" si="14"/>
        <v>4.2681405275254463</v>
      </c>
      <c r="Q51" s="12">
        <f t="shared" si="14"/>
        <v>3.9035643770134052</v>
      </c>
    </row>
    <row r="52" spans="1:17" outlineLevel="1" x14ac:dyDescent="0.3">
      <c r="A52" s="23" t="s">
        <v>90</v>
      </c>
      <c r="B52" s="23"/>
      <c r="C52" s="23"/>
      <c r="D52" s="23"/>
      <c r="E52" s="12">
        <f t="shared" ref="E52:Q52" si="15">(E20+E22)/(E21+E23)</f>
        <v>7.8291025384769135</v>
      </c>
      <c r="F52" s="12">
        <f t="shared" si="15"/>
        <v>8.11726632400533</v>
      </c>
      <c r="G52" s="12">
        <f t="shared" si="15"/>
        <v>7.1562139917695475</v>
      </c>
      <c r="H52" s="12">
        <f t="shared" si="15"/>
        <v>7.3605389797882577</v>
      </c>
      <c r="I52" s="12">
        <f t="shared" si="15"/>
        <v>5.5760320952504205</v>
      </c>
      <c r="J52" s="12">
        <f t="shared" si="15"/>
        <v>6.3411269241940165</v>
      </c>
      <c r="K52" s="12">
        <f t="shared" si="15"/>
        <v>6.5756068144127848</v>
      </c>
      <c r="L52" s="12">
        <f t="shared" si="15"/>
        <v>6.3938015353994881</v>
      </c>
      <c r="M52" s="12">
        <f t="shared" si="15"/>
        <v>5.1858073712074937</v>
      </c>
      <c r="N52" s="12">
        <f t="shared" si="15"/>
        <v>6.1445889354198808</v>
      </c>
      <c r="O52" s="12">
        <f t="shared" si="15"/>
        <v>6.6751040611992352</v>
      </c>
      <c r="P52" s="12">
        <f t="shared" si="15"/>
        <v>6.0596877021158644</v>
      </c>
      <c r="Q52" s="12">
        <f t="shared" si="15"/>
        <v>5.6442048517520211</v>
      </c>
    </row>
    <row r="53" spans="1:17" x14ac:dyDescent="0.3">
      <c r="A53" s="7" t="s">
        <v>67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17" outlineLevel="1" x14ac:dyDescent="0.3">
      <c r="E54" s="32">
        <v>3</v>
      </c>
      <c r="F54" s="32"/>
      <c r="G54" s="32">
        <v>5</v>
      </c>
      <c r="H54" s="32"/>
      <c r="I54" s="32">
        <v>10</v>
      </c>
      <c r="J54" s="32"/>
      <c r="L54" s="28" t="s">
        <v>68</v>
      </c>
      <c r="M54" s="28"/>
      <c r="N54" s="28"/>
      <c r="P54" t="s">
        <v>74</v>
      </c>
      <c r="Q54" t="s">
        <v>78</v>
      </c>
    </row>
    <row r="55" spans="1:17" outlineLevel="1" x14ac:dyDescent="0.3">
      <c r="A55" s="23" t="s">
        <v>16</v>
      </c>
      <c r="B55" s="23"/>
      <c r="C55" s="23"/>
      <c r="D55" s="23"/>
      <c r="E55" s="24">
        <f>CAGR($N45,Q45,E$54)</f>
        <v>8.480549384101943E-2</v>
      </c>
      <c r="F55" s="24"/>
      <c r="G55" s="24">
        <f>CAGR($L45,Q45,G$54)</f>
        <v>0.16177510030115916</v>
      </c>
      <c r="H55" s="24"/>
      <c r="I55" s="24">
        <f>CAGR($G45,Q45,I$54)</f>
        <v>1.8023450287733667E-2</v>
      </c>
      <c r="J55" s="24"/>
      <c r="L55" t="s">
        <v>71</v>
      </c>
      <c r="N55" s="18">
        <v>0.03</v>
      </c>
      <c r="P55">
        <v>1.75</v>
      </c>
      <c r="Q55" s="19">
        <v>43403</v>
      </c>
    </row>
    <row r="56" spans="1:17" outlineLevel="1" x14ac:dyDescent="0.3">
      <c r="A56" s="23" t="s">
        <v>17</v>
      </c>
      <c r="B56" s="23"/>
      <c r="C56" s="23"/>
      <c r="D56" s="23"/>
      <c r="E56" s="24">
        <f>CAGR($N46,Q46,E$54)</f>
        <v>7.3730232882079694E-2</v>
      </c>
      <c r="F56" s="24"/>
      <c r="G56" s="24">
        <f>CAGR($L46,Q46,G$54)</f>
        <v>0.17229477306774865</v>
      </c>
      <c r="H56" s="24"/>
      <c r="I56" s="24">
        <f>CAGR($G46,Q46,I$54)</f>
        <v>2.3660427410309826E-2</v>
      </c>
      <c r="J56" s="24"/>
      <c r="L56" s="29">
        <v>2</v>
      </c>
      <c r="M56" s="29"/>
      <c r="N56" s="17">
        <f>$Q50*((1+N55)^L56)</f>
        <v>13.770223967551729</v>
      </c>
    </row>
    <row r="57" spans="1:17" outlineLevel="1" x14ac:dyDescent="0.3">
      <c r="A57" s="23" t="s">
        <v>18</v>
      </c>
      <c r="B57" s="23"/>
      <c r="C57" s="23"/>
      <c r="D57" s="23"/>
      <c r="E57" s="24">
        <f>CAGR($N47,Q47,E$54)</f>
        <v>3.6999318511607759E-2</v>
      </c>
      <c r="F57" s="24"/>
      <c r="G57" s="24">
        <f>CAGR($L47,Q47,G$54)</f>
        <v>0.10693620566006223</v>
      </c>
      <c r="H57" s="24"/>
      <c r="I57" s="24">
        <f>CAGR($G47,Q47,I$54)</f>
        <v>5.5217716160523844E-2</v>
      </c>
      <c r="J57" s="24"/>
      <c r="L57" s="27">
        <v>2</v>
      </c>
      <c r="M57" s="27"/>
      <c r="N57" s="17">
        <f>N56*9.03/100</f>
        <v>1.2434512242699212</v>
      </c>
    </row>
    <row r="58" spans="1:17" outlineLevel="1" x14ac:dyDescent="0.3">
      <c r="A58" s="23" t="s">
        <v>19</v>
      </c>
      <c r="B58" s="23"/>
      <c r="C58" s="23"/>
      <c r="D58" s="23"/>
      <c r="E58" s="24">
        <f>CAGR($N48,Q48,E$54)</f>
        <v>4.7874036993400315E-2</v>
      </c>
      <c r="F58" s="24"/>
      <c r="G58" s="24">
        <f>CAGR($L48,Q48,G$54)</f>
        <v>5.9031482216355791E-2</v>
      </c>
      <c r="H58" s="24"/>
      <c r="I58" s="24">
        <f>CAGR($G48,Q48,I$54)</f>
        <v>4.8128103035675496E-2</v>
      </c>
      <c r="J58" s="24"/>
      <c r="L58" t="s">
        <v>69</v>
      </c>
      <c r="N58" s="17">
        <f>CAGR('Industry PE Average'!J1,Analysis!N57,Analysis!E54)</f>
        <v>-0.10766025868063578</v>
      </c>
    </row>
    <row r="59" spans="1:17" outlineLevel="1" x14ac:dyDescent="0.3">
      <c r="A59" s="23" t="s">
        <v>20</v>
      </c>
      <c r="B59" s="23"/>
      <c r="C59" s="23"/>
      <c r="D59" s="23"/>
      <c r="E59" s="24">
        <f>CAGR($N49,Q49,E$54)</f>
        <v>4.4203049430358021E-4</v>
      </c>
      <c r="F59" s="24"/>
      <c r="G59" s="24">
        <f>CAGR($L49,Q49,G$54)</f>
        <v>0.19199045174525065</v>
      </c>
      <c r="H59" s="24"/>
      <c r="I59" s="24">
        <f>CAGR($G49,Q49,I$54)</f>
        <v>-7.4293079789902183E-3</v>
      </c>
      <c r="J59" s="24"/>
      <c r="L59" t="s">
        <v>70</v>
      </c>
      <c r="N59" s="18">
        <f>((1+N58)*(1+N55))-1</f>
        <v>-8.0890066441054786E-2</v>
      </c>
      <c r="P59" s="26"/>
      <c r="Q59" s="26"/>
    </row>
    <row r="60" spans="1:17" outlineLevel="1" x14ac:dyDescent="0.3">
      <c r="A60" s="23" t="s">
        <v>72</v>
      </c>
      <c r="B60" s="23"/>
      <c r="C60" s="23"/>
      <c r="D60" s="23"/>
      <c r="E60" s="24">
        <f t="shared" ref="E60" si="16">CAGR($N50,Q50,E$54)</f>
        <v>0.16770349902852333</v>
      </c>
      <c r="F60" s="24"/>
      <c r="G60" s="24">
        <f t="shared" ref="G60" si="17">CAGR($L50,Q50,G$54)</f>
        <v>0.28613508978917079</v>
      </c>
      <c r="H60" s="24"/>
      <c r="I60" s="24">
        <f t="shared" ref="I60" si="18">CAGR($G50,Q50,I$54)</f>
        <v>7.3330913059328706E-2</v>
      </c>
      <c r="J60" s="24"/>
      <c r="L60" t="s">
        <v>76</v>
      </c>
      <c r="N60" s="16">
        <f>$P$55*(Analysis!N59+1)^$L56</f>
        <v>1.4783353724417752</v>
      </c>
      <c r="P60" s="26"/>
      <c r="Q60" s="26"/>
    </row>
    <row r="61" spans="1:17" outlineLevel="1" x14ac:dyDescent="0.3">
      <c r="A61" s="23" t="s">
        <v>89</v>
      </c>
      <c r="B61" s="23"/>
      <c r="C61" s="23"/>
      <c r="D61" s="23"/>
      <c r="E61" s="24">
        <f t="shared" ref="E61:E62" si="19">CAGR($N51,Q51,E$54)</f>
        <v>6.2503432936953374E-3</v>
      </c>
      <c r="F61" s="24"/>
      <c r="G61" s="24">
        <f t="shared" ref="G61:G62" si="20">CAGR($L51,Q51,G$54)</f>
        <v>2.2080722378674089E-2</v>
      </c>
      <c r="H61" s="24"/>
      <c r="I61" s="24">
        <f t="shared" ref="I61:I62" si="21">CAGR($G51,Q51,I$54)</f>
        <v>-1.8430044356207986E-3</v>
      </c>
      <c r="J61" s="24"/>
      <c r="L61" s="28" t="s">
        <v>73</v>
      </c>
      <c r="M61" s="28"/>
      <c r="N61" s="28"/>
      <c r="P61" s="26"/>
      <c r="Q61" s="26"/>
    </row>
    <row r="62" spans="1:17" outlineLevel="1" x14ac:dyDescent="0.3">
      <c r="A62" s="23" t="s">
        <v>90</v>
      </c>
      <c r="B62" s="23"/>
      <c r="C62" s="23"/>
      <c r="D62" s="23"/>
      <c r="E62" s="24">
        <f t="shared" si="19"/>
        <v>-2.7917082996584019E-2</v>
      </c>
      <c r="F62" s="24"/>
      <c r="G62" s="24">
        <f t="shared" si="20"/>
        <v>-2.4631505615190452E-2</v>
      </c>
      <c r="H62" s="24"/>
      <c r="I62" s="24">
        <f t="shared" si="21"/>
        <v>-2.345571018449577E-2</v>
      </c>
      <c r="J62" s="24"/>
      <c r="L62" t="s">
        <v>71</v>
      </c>
      <c r="N62" s="18">
        <f>I60</f>
        <v>7.3330913059328706E-2</v>
      </c>
      <c r="P62" s="26"/>
      <c r="Q62" s="26"/>
    </row>
    <row r="63" spans="1:17" outlineLevel="1" x14ac:dyDescent="0.3">
      <c r="L63" s="29">
        <v>2</v>
      </c>
      <c r="M63" s="29"/>
      <c r="N63" s="17">
        <f>$Q$50*((1+$N62)^L63)</f>
        <v>14.953189251728979</v>
      </c>
      <c r="P63" s="26"/>
      <c r="Q63" s="26"/>
    </row>
    <row r="64" spans="1:17" outlineLevel="1" x14ac:dyDescent="0.3">
      <c r="L64" s="27">
        <v>2</v>
      </c>
      <c r="M64" s="27"/>
      <c r="N64" s="17">
        <f>$N$63*11.26/100</f>
        <v>1.6837291097446832</v>
      </c>
      <c r="P64" s="26"/>
      <c r="Q64" s="26"/>
    </row>
    <row r="65" spans="1:19" outlineLevel="1" x14ac:dyDescent="0.3">
      <c r="A65" s="23" t="s">
        <v>23</v>
      </c>
      <c r="B65" s="23"/>
      <c r="C65" s="23"/>
      <c r="D65" s="23"/>
      <c r="E65" s="24">
        <f>CAGR($N7,Q7,E$54)</f>
        <v>7.6417390636530858E-2</v>
      </c>
      <c r="F65" s="24"/>
      <c r="G65" s="24">
        <f>CAGR($L7,Q7,G$54)</f>
        <v>0.10704308386001271</v>
      </c>
      <c r="H65" s="24"/>
      <c r="I65" s="24">
        <f>CAGR($G7,Q7,I$54)</f>
        <v>5.4743227762786839E-2</v>
      </c>
      <c r="J65" s="24"/>
      <c r="L65" t="s">
        <v>69</v>
      </c>
      <c r="N65" s="18">
        <f>CAGR('Industry PE Average'!J1,Analysis!N64,Analysis!$E$54)</f>
        <v>-1.2785806844115899E-2</v>
      </c>
      <c r="P65" s="26"/>
      <c r="Q65" s="26"/>
    </row>
    <row r="66" spans="1:19" outlineLevel="1" x14ac:dyDescent="0.3">
      <c r="A66" s="23" t="s">
        <v>24</v>
      </c>
      <c r="B66" s="23"/>
      <c r="C66" s="23"/>
      <c r="D66" s="23"/>
      <c r="E66" s="24">
        <f>CAGR($N8,Q8,E$54)</f>
        <v>0.16770349902852333</v>
      </c>
      <c r="F66" s="24"/>
      <c r="G66" s="24">
        <f>CAGR($L8,Q8,G$54)</f>
        <v>0.28613508978917079</v>
      </c>
      <c r="H66" s="24"/>
      <c r="I66" s="24">
        <f>CAGR($G8,Q8,I$54)</f>
        <v>7.3753339894693237E-2</v>
      </c>
      <c r="J66" s="24"/>
      <c r="L66" t="s">
        <v>70</v>
      </c>
      <c r="N66" s="18">
        <f>((1+N65)*(1+N62))-1</f>
        <v>5.9607511325133533E-2</v>
      </c>
      <c r="P66" s="25"/>
      <c r="Q66" s="25"/>
    </row>
    <row r="67" spans="1:19" outlineLevel="1" x14ac:dyDescent="0.3">
      <c r="A67" s="23" t="s">
        <v>7</v>
      </c>
      <c r="B67" s="23"/>
      <c r="C67" s="23"/>
      <c r="D67" s="23"/>
      <c r="E67" s="24">
        <f>CAGR($N11,Q11,E$54)</f>
        <v>4.7874036993400315E-2</v>
      </c>
      <c r="F67" s="24"/>
      <c r="G67" s="24">
        <f>CAGR($L11,Q11,G$54)</f>
        <v>5.9031482216355791E-2</v>
      </c>
      <c r="H67" s="24"/>
      <c r="I67" s="24">
        <f>CAGR($G11,Q11,I$54)</f>
        <v>4.8128103035675496E-2</v>
      </c>
      <c r="J67" s="24"/>
      <c r="L67" t="s">
        <v>76</v>
      </c>
      <c r="N67" s="16">
        <f>$P$55*(Analysis!N66+1)^$L63</f>
        <v>1.9648441365991252</v>
      </c>
      <c r="P67" s="25"/>
      <c r="Q67" s="25"/>
    </row>
    <row r="68" spans="1:19" outlineLevel="1" x14ac:dyDescent="0.3">
      <c r="A68" s="23" t="s">
        <v>14</v>
      </c>
      <c r="B68" s="23"/>
      <c r="C68" s="23"/>
      <c r="D68" s="23"/>
      <c r="E68" s="24">
        <f>CAGR($N24,Q24,E$54)</f>
        <v>0.13544893273890013</v>
      </c>
      <c r="F68" s="24"/>
      <c r="G68" s="24">
        <f>CAGR($L24,Q24,G$54)</f>
        <v>0.13045845632522401</v>
      </c>
      <c r="H68" s="24"/>
      <c r="I68" s="24">
        <f>CAGR($G24,Q24,I$54)</f>
        <v>7.8929112255238909E-2</v>
      </c>
      <c r="J68" s="24"/>
    </row>
    <row r="69" spans="1:19" outlineLevel="1" x14ac:dyDescent="0.3">
      <c r="A69" s="23" t="s">
        <v>15</v>
      </c>
      <c r="B69" s="23"/>
      <c r="C69" s="23"/>
      <c r="D69" s="23"/>
      <c r="E69" s="24">
        <f>CAGR($N25,Q25,E$54)</f>
        <v>8.7520368961021999E-2</v>
      </c>
      <c r="F69" s="24"/>
      <c r="G69" s="24">
        <f>CAGR($L25,Q25,G$54)</f>
        <v>9.7108951892292739E-2</v>
      </c>
      <c r="H69" s="24"/>
      <c r="I69" s="24">
        <f>CAGR($G25,Q25,I$54)</f>
        <v>4.8935087401112298E-2</v>
      </c>
      <c r="J69" s="24"/>
      <c r="L69" s="28" t="s">
        <v>75</v>
      </c>
      <c r="M69" s="28"/>
      <c r="N69" s="28"/>
    </row>
    <row r="70" spans="1:19" outlineLevel="1" x14ac:dyDescent="0.3">
      <c r="A70" s="23" t="s">
        <v>22</v>
      </c>
      <c r="B70" s="23"/>
      <c r="C70" s="23"/>
      <c r="D70" s="23"/>
      <c r="E70" s="24">
        <f>CAGR($N26,Q26,E$54)</f>
        <v>0.11625217153131606</v>
      </c>
      <c r="F70" s="24"/>
      <c r="G70" s="24">
        <f>CAGR($L26,Q26,G$54)</f>
        <v>0.18167965222534055</v>
      </c>
      <c r="H70" s="24"/>
      <c r="I70" s="24">
        <f>CAGR($G26,Q26,I$54)</f>
        <v>6.2617679070509968E-2</v>
      </c>
      <c r="J70" s="24"/>
      <c r="L70" t="s">
        <v>71</v>
      </c>
      <c r="N70" s="18">
        <f>E60</f>
        <v>0.16770349902852333</v>
      </c>
      <c r="P70" s="30"/>
      <c r="Q70" s="30"/>
      <c r="R70" s="30"/>
      <c r="S70" s="30"/>
    </row>
    <row r="71" spans="1:19" outlineLevel="1" x14ac:dyDescent="0.3">
      <c r="A71" s="23" t="s">
        <v>8</v>
      </c>
      <c r="B71" s="23"/>
      <c r="C71" s="23"/>
      <c r="D71" s="23"/>
      <c r="E71" s="24">
        <f>CAGR($N34,Q34,E$54)</f>
        <v>0.16578466449348483</v>
      </c>
      <c r="F71" s="24"/>
      <c r="G71" s="24">
        <f>CAGR($L34,Q34,G$54)</f>
        <v>0.20476376373334571</v>
      </c>
      <c r="H71" s="24"/>
      <c r="I71" s="24">
        <f>CAGR($G34,Q34,I$54)</f>
        <v>7.7758235772414031E-2</v>
      </c>
      <c r="J71" s="24"/>
      <c r="L71" s="29">
        <v>2</v>
      </c>
      <c r="M71" s="29"/>
      <c r="N71" s="17">
        <f>$Q$50*((1+$N70)^L71)</f>
        <v>17.698306733559779</v>
      </c>
      <c r="S71" s="21"/>
    </row>
    <row r="72" spans="1:19" outlineLevel="1" x14ac:dyDescent="0.3">
      <c r="A72" s="23" t="s">
        <v>9</v>
      </c>
      <c r="B72" s="23"/>
      <c r="C72" s="23"/>
      <c r="D72" s="23"/>
      <c r="E72" s="24">
        <f>CAGR($N35,Q35,E$54)</f>
        <v>0.35092191986182009</v>
      </c>
      <c r="F72" s="24"/>
      <c r="G72" s="24">
        <f>CAGR($L35,Q35,G$54)</f>
        <v>0.35668335901641401</v>
      </c>
      <c r="H72" s="24"/>
      <c r="I72" s="24">
        <f>CAGR($G35,Q35,I$54)</f>
        <v>0.1020641039809953</v>
      </c>
      <c r="J72" s="24"/>
      <c r="L72" s="27">
        <v>2</v>
      </c>
      <c r="M72" s="27"/>
      <c r="N72" s="17">
        <f>$N71*9.08/100</f>
        <v>1.6070062514072279</v>
      </c>
      <c r="S72" s="21"/>
    </row>
    <row r="73" spans="1:19" outlineLevel="1" x14ac:dyDescent="0.3">
      <c r="L73" t="s">
        <v>69</v>
      </c>
      <c r="N73" s="18">
        <f>CAGR($P$55,Analysis!N72,Analysis!$E$54)</f>
        <v>-2.8014381447571068E-2</v>
      </c>
      <c r="S73" s="16"/>
    </row>
    <row r="74" spans="1:19" outlineLevel="1" x14ac:dyDescent="0.3">
      <c r="L74" t="s">
        <v>70</v>
      </c>
      <c r="N74" s="18">
        <f>((1+N73)*(1+N70))-1</f>
        <v>0.1349910077890748</v>
      </c>
      <c r="S74" s="22"/>
    </row>
    <row r="75" spans="1:19" outlineLevel="1" x14ac:dyDescent="0.3">
      <c r="L75" t="s">
        <v>76</v>
      </c>
      <c r="N75" s="16">
        <f>$P$55*(Analysis!N74+1)^$L71</f>
        <v>2.2543580285836042</v>
      </c>
      <c r="S75" s="17"/>
    </row>
    <row r="76" spans="1:19" outlineLevel="1" x14ac:dyDescent="0.3"/>
    <row r="77" spans="1:19" outlineLevel="1" x14ac:dyDescent="0.3">
      <c r="L77" s="28" t="s">
        <v>77</v>
      </c>
      <c r="M77" s="28"/>
      <c r="N77" s="28"/>
    </row>
    <row r="78" spans="1:19" outlineLevel="1" x14ac:dyDescent="0.3">
      <c r="L78" t="s">
        <v>71</v>
      </c>
      <c r="N78" s="18">
        <f>E71</f>
        <v>0.16578466449348483</v>
      </c>
    </row>
    <row r="79" spans="1:19" outlineLevel="1" x14ac:dyDescent="0.3">
      <c r="L79" s="29">
        <v>2</v>
      </c>
      <c r="M79" s="29"/>
      <c r="N79" s="17">
        <f>$Q$50*((1+$N78)^$L79)</f>
        <v>17.640188864372696</v>
      </c>
    </row>
    <row r="80" spans="1:19" outlineLevel="1" x14ac:dyDescent="0.3">
      <c r="L80" s="27">
        <v>2</v>
      </c>
      <c r="M80" s="27"/>
      <c r="N80" s="17">
        <f>$N79*11.26/100</f>
        <v>1.9862852661283656</v>
      </c>
    </row>
    <row r="81" spans="12:14" outlineLevel="1" x14ac:dyDescent="0.3">
      <c r="L81" t="s">
        <v>69</v>
      </c>
      <c r="N81" s="18">
        <f>CAGR($P$55,Analysis!N80,Analysis!$E$54)</f>
        <v>4.3120604838429832E-2</v>
      </c>
    </row>
    <row r="82" spans="12:14" outlineLevel="1" x14ac:dyDescent="0.3">
      <c r="L82" t="s">
        <v>70</v>
      </c>
      <c r="N82" s="18">
        <f>((1+N81)*(1+N78))-1</f>
        <v>0.21605400433780986</v>
      </c>
    </row>
    <row r="83" spans="12:14" outlineLevel="1" x14ac:dyDescent="0.3">
      <c r="L83" t="s">
        <v>76</v>
      </c>
      <c r="N83" s="16">
        <f>$P$55*(Analysis!N82+1)^$L79</f>
        <v>2.5878778475655384</v>
      </c>
    </row>
    <row r="84" spans="12:14" outlineLevel="1" x14ac:dyDescent="0.3"/>
  </sheetData>
  <sortState xmlns:xlrd2="http://schemas.microsoft.com/office/spreadsheetml/2017/richdata2" ref="S8:T19">
    <sortCondition descending="1" ref="S8"/>
  </sortState>
  <mergeCells count="113">
    <mergeCell ref="P70:S70"/>
    <mergeCell ref="E1:Q1"/>
    <mergeCell ref="E54:F54"/>
    <mergeCell ref="G54:H54"/>
    <mergeCell ref="I54:J54"/>
    <mergeCell ref="E55:F55"/>
    <mergeCell ref="G55:H55"/>
    <mergeCell ref="I55:J55"/>
    <mergeCell ref="E56:F56"/>
    <mergeCell ref="G56:H56"/>
    <mergeCell ref="I56:J56"/>
    <mergeCell ref="I59:J59"/>
    <mergeCell ref="E60:F60"/>
    <mergeCell ref="G60:H60"/>
    <mergeCell ref="I60:J60"/>
    <mergeCell ref="P59:Q59"/>
    <mergeCell ref="P60:Q60"/>
    <mergeCell ref="P61:Q61"/>
    <mergeCell ref="L80:M80"/>
    <mergeCell ref="L54:N54"/>
    <mergeCell ref="L61:N61"/>
    <mergeCell ref="L69:N69"/>
    <mergeCell ref="L77:N77"/>
    <mergeCell ref="L56:M56"/>
    <mergeCell ref="L57:M57"/>
    <mergeCell ref="L63:M63"/>
    <mergeCell ref="L64:M64"/>
    <mergeCell ref="L71:M71"/>
    <mergeCell ref="L72:M72"/>
    <mergeCell ref="L79:M79"/>
    <mergeCell ref="E71:F71"/>
    <mergeCell ref="G71:H71"/>
    <mergeCell ref="I71:J71"/>
    <mergeCell ref="E72:F72"/>
    <mergeCell ref="G72:H72"/>
    <mergeCell ref="I72:J72"/>
    <mergeCell ref="I61:J61"/>
    <mergeCell ref="I62:J62"/>
    <mergeCell ref="E70:F70"/>
    <mergeCell ref="E69:F69"/>
    <mergeCell ref="E67:F67"/>
    <mergeCell ref="E65:F65"/>
    <mergeCell ref="E66:F66"/>
    <mergeCell ref="E68:F68"/>
    <mergeCell ref="E61:F61"/>
    <mergeCell ref="E62:F62"/>
    <mergeCell ref="G61:H61"/>
    <mergeCell ref="G70:H70"/>
    <mergeCell ref="I70:J70"/>
    <mergeCell ref="I69:J69"/>
    <mergeCell ref="G69:H69"/>
    <mergeCell ref="I67:J67"/>
    <mergeCell ref="G67:H67"/>
    <mergeCell ref="G65:H65"/>
    <mergeCell ref="I65:J65"/>
    <mergeCell ref="G66:H66"/>
    <mergeCell ref="I66:J66"/>
    <mergeCell ref="G68:H68"/>
    <mergeCell ref="I68:J68"/>
    <mergeCell ref="A23:D23"/>
    <mergeCell ref="A24:D24"/>
    <mergeCell ref="A49:D49"/>
    <mergeCell ref="A55:D55"/>
    <mergeCell ref="A56:D56"/>
    <mergeCell ref="A57:D57"/>
    <mergeCell ref="P67:Q67"/>
    <mergeCell ref="P62:Q62"/>
    <mergeCell ref="P63:Q63"/>
    <mergeCell ref="P64:Q64"/>
    <mergeCell ref="P65:Q65"/>
    <mergeCell ref="P66:Q66"/>
    <mergeCell ref="G62:H62"/>
    <mergeCell ref="I57:J57"/>
    <mergeCell ref="G58:H58"/>
    <mergeCell ref="G59:H59"/>
    <mergeCell ref="E58:F58"/>
    <mergeCell ref="I58:J58"/>
    <mergeCell ref="E59:F59"/>
    <mergeCell ref="A58:D58"/>
    <mergeCell ref="A59:D59"/>
    <mergeCell ref="A50:D50"/>
    <mergeCell ref="A51:D51"/>
    <mergeCell ref="A52:D52"/>
    <mergeCell ref="E57:F57"/>
    <mergeCell ref="G57:H57"/>
    <mergeCell ref="A7:D7"/>
    <mergeCell ref="A8:D8"/>
    <mergeCell ref="A9:D9"/>
    <mergeCell ref="A10:D10"/>
    <mergeCell ref="A11:D11"/>
    <mergeCell ref="A45:D45"/>
    <mergeCell ref="A46:D46"/>
    <mergeCell ref="A47:D47"/>
    <mergeCell ref="A48:D48"/>
    <mergeCell ref="A25:D25"/>
    <mergeCell ref="A26:D26"/>
    <mergeCell ref="A27:D27"/>
    <mergeCell ref="A34:D34"/>
    <mergeCell ref="A35:D35"/>
    <mergeCell ref="A20:D20"/>
    <mergeCell ref="A21:D21"/>
    <mergeCell ref="A22:D22"/>
    <mergeCell ref="A71:D71"/>
    <mergeCell ref="A72:D72"/>
    <mergeCell ref="A66:D66"/>
    <mergeCell ref="A67:D67"/>
    <mergeCell ref="A68:D68"/>
    <mergeCell ref="A69:D69"/>
    <mergeCell ref="A70:D70"/>
    <mergeCell ref="A60:D60"/>
    <mergeCell ref="A61:D61"/>
    <mergeCell ref="A62:D62"/>
    <mergeCell ref="A65:D65"/>
  </mergeCells>
  <conditionalFormatting sqref="E65:J72 E55:J62">
    <cfRule type="cellIs" dxfId="16" priority="26" operator="lessThan">
      <formula>0</formula>
    </cfRule>
  </conditionalFormatting>
  <conditionalFormatting sqref="N67">
    <cfRule type="cellIs" dxfId="15" priority="19" operator="greaterThan">
      <formula>$P$55</formula>
    </cfRule>
    <cfRule type="cellIs" dxfId="14" priority="20" operator="lessThan">
      <formula>$P$55</formula>
    </cfRule>
  </conditionalFormatting>
  <conditionalFormatting sqref="N75">
    <cfRule type="cellIs" dxfId="13" priority="13" operator="greaterThan">
      <formula>$P$55</formula>
    </cfRule>
    <cfRule type="cellIs" dxfId="12" priority="14" operator="lessThan">
      <formula>$P$55</formula>
    </cfRule>
  </conditionalFormatting>
  <conditionalFormatting sqref="N83">
    <cfRule type="cellIs" dxfId="11" priority="11" operator="greaterThan">
      <formula>$P$55</formula>
    </cfRule>
    <cfRule type="cellIs" dxfId="10" priority="12" operator="lessThan">
      <formula>$P$55</formula>
    </cfRule>
  </conditionalFormatting>
  <conditionalFormatting sqref="N59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N66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N7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8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N60">
    <cfRule type="cellIs" dxfId="1" priority="1" operator="greaterThan">
      <formula>$P$55</formula>
    </cfRule>
    <cfRule type="cellIs" dxfId="0" priority="2" operator="lessThan">
      <formula>$P$55</formula>
    </cfRule>
  </conditionalFormatting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285FE-A3B0-4B15-8F20-05ED3E8A3700}">
  <dimension ref="A1:M18"/>
  <sheetViews>
    <sheetView workbookViewId="0">
      <selection activeCell="J14" sqref="J14:M14"/>
    </sheetView>
  </sheetViews>
  <sheetFormatPr defaultRowHeight="14" x14ac:dyDescent="0.3"/>
  <sheetData>
    <row r="1" spans="1:13" ht="18" x14ac:dyDescent="0.4">
      <c r="A1" s="31" t="s">
        <v>26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</row>
    <row r="2" spans="1:13" x14ac:dyDescent="0.3">
      <c r="A2" s="33" t="s">
        <v>28</v>
      </c>
      <c r="B2" s="33"/>
      <c r="C2" s="33"/>
      <c r="D2" s="33" t="s">
        <v>30</v>
      </c>
      <c r="E2" s="33"/>
      <c r="F2" s="33"/>
      <c r="G2" s="33"/>
      <c r="H2" s="33"/>
      <c r="I2" s="33"/>
      <c r="J2" s="33" t="s">
        <v>29</v>
      </c>
      <c r="K2" s="33"/>
      <c r="L2" s="33"/>
      <c r="M2" s="33"/>
    </row>
    <row r="3" spans="1:13" x14ac:dyDescent="0.3">
      <c r="A3" s="26" t="s">
        <v>27</v>
      </c>
      <c r="B3" s="26"/>
      <c r="C3" s="26"/>
      <c r="D3" s="26" t="s">
        <v>31</v>
      </c>
      <c r="E3" s="26"/>
      <c r="F3" s="26"/>
      <c r="G3" s="26"/>
      <c r="H3" s="26"/>
      <c r="I3" s="26"/>
      <c r="J3" s="26" t="s">
        <v>32</v>
      </c>
      <c r="K3" s="26"/>
      <c r="L3" s="26"/>
      <c r="M3" s="26"/>
    </row>
    <row r="4" spans="1:13" x14ac:dyDescent="0.3">
      <c r="A4" s="26" t="s">
        <v>18</v>
      </c>
      <c r="B4" s="26"/>
      <c r="C4" s="26"/>
      <c r="D4" s="26" t="s">
        <v>33</v>
      </c>
      <c r="E4" s="26"/>
      <c r="F4" s="26"/>
      <c r="G4" s="26"/>
      <c r="H4" s="26"/>
      <c r="I4" s="26"/>
      <c r="J4" s="26" t="s">
        <v>32</v>
      </c>
      <c r="K4" s="26"/>
      <c r="L4" s="26"/>
      <c r="M4" s="26"/>
    </row>
    <row r="5" spans="1:13" x14ac:dyDescent="0.3">
      <c r="A5" s="26" t="s">
        <v>9</v>
      </c>
      <c r="B5" s="26"/>
      <c r="C5" s="26"/>
      <c r="D5" s="26" t="s">
        <v>34</v>
      </c>
      <c r="E5" s="26"/>
      <c r="F5" s="26"/>
      <c r="G5" s="26"/>
      <c r="H5" s="26"/>
      <c r="I5" s="26"/>
      <c r="J5" s="26" t="s">
        <v>32</v>
      </c>
      <c r="K5" s="26"/>
      <c r="L5" s="26"/>
      <c r="M5" s="26"/>
    </row>
    <row r="6" spans="1:13" x14ac:dyDescent="0.3">
      <c r="A6" s="26" t="s">
        <v>14</v>
      </c>
      <c r="B6" s="26"/>
      <c r="C6" s="26"/>
      <c r="D6" s="26" t="s">
        <v>36</v>
      </c>
      <c r="E6" s="26"/>
      <c r="F6" s="26"/>
      <c r="G6" s="26"/>
      <c r="H6" s="26"/>
      <c r="I6" s="26"/>
      <c r="J6" s="26" t="s">
        <v>35</v>
      </c>
      <c r="K6" s="26"/>
      <c r="L6" s="26"/>
      <c r="M6" s="26"/>
    </row>
    <row r="7" spans="1:13" x14ac:dyDescent="0.3">
      <c r="A7" s="26" t="s">
        <v>37</v>
      </c>
      <c r="B7" s="26"/>
      <c r="C7" s="26"/>
      <c r="D7" s="26" t="s">
        <v>22</v>
      </c>
      <c r="E7" s="26"/>
      <c r="F7" s="26"/>
      <c r="G7" s="26"/>
      <c r="H7" s="26"/>
      <c r="I7" s="26"/>
      <c r="J7" s="26" t="s">
        <v>32</v>
      </c>
      <c r="K7" s="26"/>
      <c r="L7" s="26"/>
      <c r="M7" s="26"/>
    </row>
    <row r="8" spans="1:13" x14ac:dyDescent="0.3">
      <c r="A8" s="26" t="s">
        <v>20</v>
      </c>
      <c r="B8" s="26"/>
      <c r="C8" s="26"/>
      <c r="D8" s="26" t="s">
        <v>38</v>
      </c>
      <c r="E8" s="26"/>
      <c r="F8" s="26"/>
      <c r="G8" s="26"/>
      <c r="H8" s="26"/>
      <c r="I8" s="26"/>
      <c r="J8" s="26" t="s">
        <v>32</v>
      </c>
      <c r="K8" s="26"/>
      <c r="L8" s="26"/>
      <c r="M8" s="26"/>
    </row>
    <row r="9" spans="1:13" x14ac:dyDescent="0.3">
      <c r="A9" s="26" t="s">
        <v>39</v>
      </c>
      <c r="B9" s="26"/>
      <c r="C9" s="26"/>
      <c r="D9" s="26" t="s">
        <v>40</v>
      </c>
      <c r="E9" s="26"/>
      <c r="F9" s="26"/>
      <c r="G9" s="26"/>
      <c r="H9" s="26"/>
      <c r="I9" s="26"/>
      <c r="J9" s="26" t="s">
        <v>41</v>
      </c>
      <c r="K9" s="26"/>
      <c r="L9" s="26"/>
      <c r="M9" s="26"/>
    </row>
    <row r="10" spans="1:13" x14ac:dyDescent="0.3">
      <c r="A10" s="26" t="s">
        <v>42</v>
      </c>
      <c r="B10" s="26"/>
      <c r="C10" s="26"/>
      <c r="D10" s="26" t="s">
        <v>43</v>
      </c>
      <c r="E10" s="26"/>
      <c r="F10" s="26"/>
      <c r="G10" s="26"/>
      <c r="H10" s="26"/>
      <c r="I10" s="26"/>
      <c r="J10" s="26" t="s">
        <v>32</v>
      </c>
      <c r="K10" s="26"/>
      <c r="L10" s="26"/>
      <c r="M10" s="26"/>
    </row>
    <row r="11" spans="1:13" x14ac:dyDescent="0.3">
      <c r="A11" s="26" t="s">
        <v>44</v>
      </c>
      <c r="B11" s="26"/>
      <c r="C11" s="26"/>
      <c r="D11" s="26" t="s">
        <v>45</v>
      </c>
      <c r="E11" s="26"/>
      <c r="F11" s="26"/>
      <c r="G11" s="26"/>
      <c r="H11" s="26"/>
      <c r="I11" s="26"/>
      <c r="J11" s="26" t="s">
        <v>46</v>
      </c>
      <c r="K11" s="26"/>
      <c r="L11" s="26"/>
      <c r="M11" s="26"/>
    </row>
    <row r="12" spans="1:13" x14ac:dyDescent="0.3">
      <c r="A12" s="26" t="s">
        <v>27</v>
      </c>
      <c r="B12" s="26"/>
      <c r="C12" s="26"/>
      <c r="D12" s="26" t="s">
        <v>31</v>
      </c>
      <c r="E12" s="26"/>
      <c r="F12" s="26"/>
      <c r="G12" s="26"/>
      <c r="H12" s="26"/>
      <c r="I12" s="26"/>
      <c r="J12" s="26" t="s">
        <v>32</v>
      </c>
      <c r="K12" s="26"/>
      <c r="L12" s="26"/>
      <c r="M12" s="26"/>
    </row>
    <row r="13" spans="1:13" x14ac:dyDescent="0.3">
      <c r="A13" s="26" t="s">
        <v>27</v>
      </c>
      <c r="B13" s="26"/>
      <c r="C13" s="26"/>
      <c r="D13" s="26" t="s">
        <v>31</v>
      </c>
      <c r="E13" s="26"/>
      <c r="F13" s="26"/>
      <c r="G13" s="26"/>
      <c r="H13" s="26"/>
      <c r="I13" s="26"/>
      <c r="J13" s="26" t="s">
        <v>32</v>
      </c>
      <c r="K13" s="26"/>
      <c r="L13" s="26"/>
      <c r="M13" s="26"/>
    </row>
    <row r="14" spans="1:13" x14ac:dyDescent="0.3">
      <c r="A14" s="26" t="s">
        <v>70</v>
      </c>
      <c r="B14" s="26"/>
      <c r="C14" s="26"/>
      <c r="D14" s="26" t="s">
        <v>79</v>
      </c>
      <c r="E14" s="26"/>
      <c r="F14" s="26"/>
      <c r="G14" s="26"/>
      <c r="H14" s="26"/>
      <c r="I14" s="26"/>
      <c r="J14" s="26" t="s">
        <v>80</v>
      </c>
      <c r="K14" s="26"/>
      <c r="L14" s="26"/>
      <c r="M14" s="26"/>
    </row>
    <row r="15" spans="1:13" x14ac:dyDescent="0.3">
      <c r="A15" s="26" t="s">
        <v>82</v>
      </c>
      <c r="B15" s="26"/>
      <c r="C15" s="26"/>
      <c r="D15" s="26" t="s">
        <v>81</v>
      </c>
      <c r="E15" s="26"/>
      <c r="F15" s="26"/>
      <c r="G15" s="26"/>
      <c r="H15" s="26"/>
      <c r="I15" s="26"/>
      <c r="J15" s="26" t="s">
        <v>32</v>
      </c>
      <c r="K15" s="26"/>
      <c r="L15" s="26"/>
      <c r="M15" s="26"/>
    </row>
    <row r="16" spans="1:13" x14ac:dyDescent="0.3">
      <c r="A16" s="26" t="s">
        <v>83</v>
      </c>
      <c r="B16" s="26"/>
      <c r="C16" s="26"/>
      <c r="D16" s="26" t="s">
        <v>85</v>
      </c>
      <c r="E16" s="26"/>
      <c r="F16" s="26"/>
      <c r="G16" s="26"/>
      <c r="H16" s="26"/>
      <c r="I16" s="26"/>
      <c r="J16" s="26" t="s">
        <v>84</v>
      </c>
      <c r="K16" s="26"/>
      <c r="L16" s="26"/>
      <c r="M16" s="26"/>
    </row>
    <row r="17" spans="1:13" x14ac:dyDescent="0.3">
      <c r="A17" s="26" t="s">
        <v>86</v>
      </c>
      <c r="B17" s="26"/>
      <c r="C17" s="26"/>
      <c r="D17" s="26" t="s">
        <v>88</v>
      </c>
      <c r="E17" s="26"/>
      <c r="F17" s="26"/>
      <c r="G17" s="26"/>
      <c r="H17" s="26"/>
      <c r="I17" s="26"/>
      <c r="J17" s="26" t="s">
        <v>87</v>
      </c>
      <c r="K17" s="26"/>
      <c r="L17" s="26"/>
      <c r="M17" s="26"/>
    </row>
    <row r="18" spans="1:13" x14ac:dyDescent="0.3">
      <c r="A18" s="26" t="s">
        <v>92</v>
      </c>
      <c r="B18" s="26"/>
      <c r="C18" s="26"/>
      <c r="D18" t="s">
        <v>93</v>
      </c>
      <c r="J18" s="26" t="s">
        <v>32</v>
      </c>
      <c r="K18" s="26"/>
      <c r="L18" s="26"/>
      <c r="M18" s="26"/>
    </row>
  </sheetData>
  <mergeCells count="51">
    <mergeCell ref="J18:M18"/>
    <mergeCell ref="A18:C18"/>
    <mergeCell ref="J13:M13"/>
    <mergeCell ref="D7:I7"/>
    <mergeCell ref="D13:I13"/>
    <mergeCell ref="J9:M9"/>
    <mergeCell ref="J10:M10"/>
    <mergeCell ref="J11:M11"/>
    <mergeCell ref="J12:M12"/>
    <mergeCell ref="A13:C13"/>
    <mergeCell ref="D10:I10"/>
    <mergeCell ref="D11:I11"/>
    <mergeCell ref="D12:I12"/>
    <mergeCell ref="A9:C9"/>
    <mergeCell ref="A10:C10"/>
    <mergeCell ref="A11:C11"/>
    <mergeCell ref="D8:I8"/>
    <mergeCell ref="D9:I9"/>
    <mergeCell ref="J4:M4"/>
    <mergeCell ref="J5:M5"/>
    <mergeCell ref="J6:M6"/>
    <mergeCell ref="J7:M7"/>
    <mergeCell ref="J8:M8"/>
    <mergeCell ref="A12:C12"/>
    <mergeCell ref="A1:M1"/>
    <mergeCell ref="A2:C2"/>
    <mergeCell ref="D2:I2"/>
    <mergeCell ref="J2:M2"/>
    <mergeCell ref="A3:C3"/>
    <mergeCell ref="D3:I3"/>
    <mergeCell ref="J3:M3"/>
    <mergeCell ref="A4:C4"/>
    <mergeCell ref="A5:C5"/>
    <mergeCell ref="A6:C6"/>
    <mergeCell ref="A7:C7"/>
    <mergeCell ref="A8:C8"/>
    <mergeCell ref="D4:I4"/>
    <mergeCell ref="D5:I5"/>
    <mergeCell ref="D6:I6"/>
    <mergeCell ref="D17:I17"/>
    <mergeCell ref="J17:M17"/>
    <mergeCell ref="A17:C17"/>
    <mergeCell ref="D14:I14"/>
    <mergeCell ref="J14:M14"/>
    <mergeCell ref="A14:C14"/>
    <mergeCell ref="J15:M15"/>
    <mergeCell ref="D16:I16"/>
    <mergeCell ref="J16:M16"/>
    <mergeCell ref="A16:C16"/>
    <mergeCell ref="A15:C15"/>
    <mergeCell ref="D15:I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87569-6BD0-4458-8948-3955590E24BE}">
  <dimension ref="A1:J15"/>
  <sheetViews>
    <sheetView workbookViewId="0">
      <selection activeCell="G19" sqref="G19"/>
    </sheetView>
  </sheetViews>
  <sheetFormatPr defaultRowHeight="14" x14ac:dyDescent="0.3"/>
  <cols>
    <col min="3" max="3" width="9.8984375" bestFit="1" customWidth="1"/>
    <col min="10" max="10" width="9.8984375" bestFit="1" customWidth="1"/>
  </cols>
  <sheetData>
    <row r="1" spans="1:10" ht="18" x14ac:dyDescent="0.4">
      <c r="A1" s="31" t="s">
        <v>47</v>
      </c>
      <c r="B1" s="31"/>
      <c r="C1" s="31"/>
      <c r="D1" s="31"/>
      <c r="E1" s="31"/>
      <c r="F1" s="31"/>
      <c r="H1" s="28" t="s">
        <v>65</v>
      </c>
      <c r="I1" s="28"/>
      <c r="J1">
        <v>1.75</v>
      </c>
    </row>
    <row r="2" spans="1:10" x14ac:dyDescent="0.3">
      <c r="A2" s="34" t="s">
        <v>57</v>
      </c>
      <c r="B2" s="34"/>
      <c r="C2" s="35" t="s">
        <v>63</v>
      </c>
      <c r="D2" s="35"/>
      <c r="E2" s="35"/>
      <c r="F2" s="35"/>
      <c r="H2" s="28" t="s">
        <v>78</v>
      </c>
      <c r="I2" s="28"/>
      <c r="J2" s="19">
        <v>43403</v>
      </c>
    </row>
    <row r="3" spans="1:10" x14ac:dyDescent="0.3">
      <c r="A3" s="34"/>
      <c r="B3" s="34"/>
      <c r="C3" s="36">
        <v>42854</v>
      </c>
      <c r="D3" s="36"/>
      <c r="E3" s="26" t="s">
        <v>58</v>
      </c>
      <c r="F3" s="26"/>
    </row>
    <row r="4" spans="1:10" x14ac:dyDescent="0.3">
      <c r="A4" s="26" t="s">
        <v>48</v>
      </c>
      <c r="B4" s="26"/>
      <c r="C4" s="26">
        <v>9.5399999999999991</v>
      </c>
      <c r="D4" s="26"/>
      <c r="E4" s="26">
        <v>6.54</v>
      </c>
      <c r="F4" s="26"/>
    </row>
    <row r="5" spans="1:10" x14ac:dyDescent="0.3">
      <c r="A5" s="26" t="s">
        <v>49</v>
      </c>
      <c r="B5" s="26"/>
      <c r="C5" s="26">
        <v>11.53</v>
      </c>
      <c r="D5" s="26"/>
      <c r="E5" s="26">
        <v>8.27</v>
      </c>
      <c r="F5" s="26"/>
    </row>
    <row r="6" spans="1:10" x14ac:dyDescent="0.3">
      <c r="A6" s="26" t="s">
        <v>50</v>
      </c>
      <c r="B6" s="26"/>
      <c r="C6" s="26">
        <v>29.56</v>
      </c>
      <c r="D6" s="26"/>
      <c r="E6" s="26" t="s">
        <v>60</v>
      </c>
      <c r="F6" s="26"/>
    </row>
    <row r="7" spans="1:10" x14ac:dyDescent="0.3">
      <c r="A7" s="26" t="s">
        <v>51</v>
      </c>
      <c r="B7" s="26"/>
      <c r="C7" s="26">
        <v>39.42</v>
      </c>
      <c r="D7" s="26"/>
      <c r="E7" s="26">
        <v>8.26</v>
      </c>
      <c r="F7" s="26"/>
    </row>
    <row r="8" spans="1:10" x14ac:dyDescent="0.3">
      <c r="A8" s="26" t="s">
        <v>52</v>
      </c>
      <c r="B8" s="26"/>
      <c r="C8" s="26">
        <v>16.43</v>
      </c>
      <c r="D8" s="26"/>
      <c r="E8" s="26">
        <v>7.21</v>
      </c>
      <c r="F8" s="26"/>
    </row>
    <row r="9" spans="1:10" x14ac:dyDescent="0.3">
      <c r="A9" s="26" t="s">
        <v>54</v>
      </c>
      <c r="B9" s="26"/>
      <c r="C9" s="26">
        <v>9.67</v>
      </c>
      <c r="D9" s="26"/>
      <c r="E9" s="26">
        <v>9.43</v>
      </c>
      <c r="F9" s="26"/>
    </row>
    <row r="10" spans="1:10" x14ac:dyDescent="0.3">
      <c r="A10" s="26" t="s">
        <v>55</v>
      </c>
      <c r="B10" s="26"/>
      <c r="C10" s="26">
        <v>23.56</v>
      </c>
      <c r="D10" s="26"/>
      <c r="E10" s="26">
        <v>7.13</v>
      </c>
      <c r="F10" s="26"/>
    </row>
    <row r="11" spans="1:10" x14ac:dyDescent="0.3">
      <c r="A11" s="26" t="s">
        <v>56</v>
      </c>
      <c r="B11" s="26"/>
      <c r="C11" s="26">
        <v>10.039999999999999</v>
      </c>
      <c r="D11" s="26"/>
      <c r="E11" s="26">
        <v>11.95</v>
      </c>
      <c r="F11" s="26"/>
    </row>
    <row r="12" spans="1:10" x14ac:dyDescent="0.3">
      <c r="A12" s="38" t="s">
        <v>53</v>
      </c>
      <c r="B12" s="38"/>
      <c r="C12" s="15">
        <v>7.76</v>
      </c>
      <c r="D12" s="15"/>
      <c r="E12" s="15" t="s">
        <v>59</v>
      </c>
      <c r="F12" s="15"/>
    </row>
    <row r="13" spans="1:10" x14ac:dyDescent="0.3">
      <c r="A13" s="26" t="s">
        <v>62</v>
      </c>
      <c r="B13" s="26"/>
      <c r="C13" s="26">
        <v>21.4</v>
      </c>
      <c r="D13" s="26"/>
      <c r="E13" s="37">
        <f>(J1*100)/Analysis!Q50</f>
        <v>13.482533068269978</v>
      </c>
      <c r="F13" s="37"/>
    </row>
    <row r="14" spans="1:10" x14ac:dyDescent="0.3">
      <c r="A14" s="26" t="s">
        <v>66</v>
      </c>
      <c r="B14" s="26"/>
      <c r="C14" s="26">
        <v>17.501100000000001</v>
      </c>
      <c r="D14" s="26"/>
      <c r="E14" s="37">
        <f>AVERAGE(E4,E5,E7,E8,E9,E10,E11,E13)</f>
        <v>9.0340666335337474</v>
      </c>
      <c r="F14" s="37"/>
    </row>
    <row r="15" spans="1:10" x14ac:dyDescent="0.3">
      <c r="A15" s="26" t="s">
        <v>61</v>
      </c>
      <c r="B15" s="26"/>
      <c r="C15" s="26">
        <v>12.97</v>
      </c>
      <c r="D15" s="26"/>
      <c r="E15" s="26">
        <v>11.26</v>
      </c>
      <c r="F15" s="26"/>
    </row>
  </sheetData>
  <mergeCells count="41">
    <mergeCell ref="C11:D11"/>
    <mergeCell ref="E4:F4"/>
    <mergeCell ref="E5:F5"/>
    <mergeCell ref="E6:F6"/>
    <mergeCell ref="E7:F7"/>
    <mergeCell ref="E8:F8"/>
    <mergeCell ref="C4:D4"/>
    <mergeCell ref="C5:D5"/>
    <mergeCell ref="C6:D6"/>
    <mergeCell ref="C7:D7"/>
    <mergeCell ref="C8:D8"/>
    <mergeCell ref="E10:F10"/>
    <mergeCell ref="E11:F11"/>
    <mergeCell ref="A12:B12"/>
    <mergeCell ref="A14:B14"/>
    <mergeCell ref="A15:B15"/>
    <mergeCell ref="A13:B13"/>
    <mergeCell ref="C14:D14"/>
    <mergeCell ref="C15:D15"/>
    <mergeCell ref="C13:D13"/>
    <mergeCell ref="E14:F14"/>
    <mergeCell ref="E15:F15"/>
    <mergeCell ref="E13:F13"/>
    <mergeCell ref="H2:I2"/>
    <mergeCell ref="H1:I1"/>
    <mergeCell ref="A9:B9"/>
    <mergeCell ref="A10:B10"/>
    <mergeCell ref="A11:B11"/>
    <mergeCell ref="A2:B3"/>
    <mergeCell ref="A1:F1"/>
    <mergeCell ref="C2:F2"/>
    <mergeCell ref="C3:D3"/>
    <mergeCell ref="E3:F3"/>
    <mergeCell ref="A4:B4"/>
    <mergeCell ref="A5:B5"/>
    <mergeCell ref="A6:B6"/>
    <mergeCell ref="A7:B7"/>
    <mergeCell ref="A8:B8"/>
    <mergeCell ref="E9:F9"/>
    <mergeCell ref="C9:D9"/>
    <mergeCell ref="C10:D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Analysis</vt:lpstr>
      <vt:lpstr>Glossary of terms </vt:lpstr>
      <vt:lpstr>Industry PE Average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Xerxes</dc:creator>
  <cp:lastModifiedBy>Xerxes</cp:lastModifiedBy>
  <cp:lastPrinted>2018-10-30T14:22:34Z</cp:lastPrinted>
  <dcterms:created xsi:type="dcterms:W3CDTF">2018-09-24T13:49:36Z</dcterms:created>
  <dcterms:modified xsi:type="dcterms:W3CDTF">2019-04-02T23:55:02Z</dcterms:modified>
</cp:coreProperties>
</file>